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Project\FMCG\"/>
    </mc:Choice>
  </mc:AlternateContent>
  <xr:revisionPtr revIDLastSave="0" documentId="13_ncr:1_{8E10CFC8-A12C-4DB0-8D00-B2EDEC4BD52F}" xr6:coauthVersionLast="47" xr6:coauthVersionMax="47" xr10:uidLastSave="{00000000-0000-0000-0000-000000000000}"/>
  <bookViews>
    <workbookView xWindow="-108" yWindow="-108" windowWidth="23256" windowHeight="12456" firstSheet="2" activeTab="2" xr2:uid="{0285866B-4293-4AB6-8CA4-90E10D08576F}"/>
  </bookViews>
  <sheets>
    <sheet name="Consumption" sheetId="4" r:id="rId1"/>
    <sheet name="CPI" sheetId="3" r:id="rId2"/>
    <sheet name="Retail Trade" sheetId="2" r:id="rId3"/>
    <sheet name="Sheet1" sheetId="1" r:id="rId4"/>
    <sheet name="Assumptions (2)" sheetId="6" r:id="rId5"/>
    <sheet name="Calculation" sheetId="7" r:id="rId6"/>
    <sheet name="Output" sheetId="8" r:id="rId7"/>
    <sheet name="Pricing_Model" sheetId="11" r:id="rId8"/>
    <sheet name="CI_Tracker" sheetId="12" r:id="rId9"/>
  </sheets>
  <externalReferences>
    <externalReference r:id="rId10"/>
    <externalReference r:id="rId11"/>
    <externalReference r:id="rId12"/>
  </externalReferences>
  <definedNames>
    <definedName name="_xlcn.WorksheetConnection_FMCGAnalysis.xlsxConsumption1" hidden="1">Consumption[]</definedName>
    <definedName name="_xlcn.WorksheetConnection_FMCGAnalysis.xlsxCPI1" hidden="1">CPI[]</definedName>
    <definedName name="_xlcn.WorksheetConnection_FMCGAnalysis.xlsxRetail_Trade1" hidden="1">Retail_Trade[]</definedName>
    <definedName name="ExternalData_1" localSheetId="2" hidden="1">'Retail Trade'!$A$1:$E$287</definedName>
    <definedName name="ExternalData_2" localSheetId="1" hidden="1">'CPI'!$A$1:$D$49</definedName>
    <definedName name="ExternalData_3" localSheetId="0" hidden="1">'Consumption'!$A$1:$E$287</definedName>
  </definedNames>
  <calcPr calcId="191029"/>
  <pivotCaches>
    <pivotCache cacheId="25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_Trade" name="Retail_Trade" connection="WorksheetConnection_FMCG Analysis.xlsx!Retail_Trade"/>
          <x15:modelTable id="Consumption" name="Consumption" connection="WorksheetConnection_FMCG Analysis.xlsx!Consumption"/>
          <x15:modelTable id="CPI" name="CPI" connection="WorksheetConnection_FMCG Analysis.xlsx!CPI"/>
        </x15:modelTables>
        <x15:modelRelationships>
          <x15:modelRelationship fromTable="Retail_Trade" fromColumn="Country_Year" toTable="CPI" toColumn="Country_Year"/>
          <x15:modelRelationship fromTable="Consumption" fromColumn="Country_Year" toTable="CPI" toColumn="Country_Yea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1" l="1"/>
  <c r="B39" i="11"/>
  <c r="D39" i="11" s="1"/>
  <c r="B38" i="11"/>
  <c r="C38" i="11" s="1"/>
  <c r="B37" i="11"/>
  <c r="D37" i="11" s="1"/>
  <c r="B36" i="11"/>
  <c r="D36" i="11" s="1"/>
  <c r="B35" i="11"/>
  <c r="D35" i="11" s="1"/>
  <c r="D34" i="11"/>
  <c r="B34" i="11"/>
  <c r="C34" i="11" s="1"/>
  <c r="E34" i="11" s="1"/>
  <c r="F34" i="11" s="1"/>
  <c r="D33" i="11"/>
  <c r="C33" i="11"/>
  <c r="E33" i="11" s="1"/>
  <c r="F33" i="11" s="1"/>
  <c r="B33" i="11"/>
  <c r="B32" i="11"/>
  <c r="D32" i="11" s="1"/>
  <c r="B31" i="11"/>
  <c r="C31" i="11" s="1"/>
  <c r="B30" i="11"/>
  <c r="D30" i="11" s="1"/>
  <c r="B29" i="11"/>
  <c r="D29" i="11" s="1"/>
  <c r="D28" i="11"/>
  <c r="E28" i="11" s="1"/>
  <c r="F28" i="11" s="1"/>
  <c r="C28" i="11"/>
  <c r="B28" i="11"/>
  <c r="C27" i="11"/>
  <c r="B27" i="11"/>
  <c r="D27" i="11" s="1"/>
  <c r="B26" i="11"/>
  <c r="C26" i="11" s="1"/>
  <c r="B25" i="11"/>
  <c r="D25" i="11" s="1"/>
  <c r="B24" i="11"/>
  <c r="C24" i="11" s="1"/>
  <c r="B23" i="11"/>
  <c r="D23" i="11" s="1"/>
  <c r="B18" i="11"/>
  <c r="B15" i="11"/>
  <c r="B13" i="11"/>
  <c r="B12" i="11"/>
  <c r="B14" i="11" s="1"/>
  <c r="B16" i="11" s="1"/>
  <c r="C21" i="8"/>
  <c r="D21" i="8" s="1"/>
  <c r="C20" i="8"/>
  <c r="D20" i="8" s="1"/>
  <c r="C19" i="8"/>
  <c r="D19" i="8" s="1"/>
  <c r="C18" i="8"/>
  <c r="D18" i="8" s="1"/>
  <c r="D14" i="8"/>
  <c r="C14" i="8"/>
  <c r="B14" i="8"/>
  <c r="D13" i="8"/>
  <c r="B13" i="8"/>
  <c r="C13" i="8" s="1"/>
  <c r="D12" i="8"/>
  <c r="B12" i="8"/>
  <c r="C12" i="8" s="1"/>
  <c r="D11" i="8"/>
  <c r="B11" i="8"/>
  <c r="C11" i="8" s="1"/>
  <c r="D10" i="8"/>
  <c r="C10" i="8"/>
  <c r="B10" i="8"/>
  <c r="D9" i="8"/>
  <c r="B9" i="8"/>
  <c r="C9" i="8" s="1"/>
  <c r="E5" i="8"/>
  <c r="C5" i="8"/>
  <c r="A5" i="8"/>
  <c r="F10" i="7"/>
  <c r="D10" i="7"/>
  <c r="C10" i="7"/>
  <c r="E10" i="7" s="1"/>
  <c r="B10" i="7"/>
  <c r="A10" i="7"/>
  <c r="F9" i="7"/>
  <c r="E9" i="7"/>
  <c r="D9" i="7"/>
  <c r="C9" i="7"/>
  <c r="B9" i="7"/>
  <c r="A9" i="7"/>
  <c r="F8" i="7"/>
  <c r="D8" i="7"/>
  <c r="C8" i="7"/>
  <c r="E8" i="7" s="1"/>
  <c r="B8" i="7"/>
  <c r="A8" i="7"/>
  <c r="F7" i="7"/>
  <c r="E7" i="7"/>
  <c r="D7" i="7"/>
  <c r="C7" i="7"/>
  <c r="B7" i="7"/>
  <c r="A7" i="7"/>
  <c r="F6" i="7"/>
  <c r="D6" i="7"/>
  <c r="C6" i="7"/>
  <c r="E6" i="7" s="1"/>
  <c r="B6" i="7"/>
  <c r="A6" i="7"/>
  <c r="F5" i="7"/>
  <c r="E5" i="7"/>
  <c r="E14" i="7" s="1"/>
  <c r="D5" i="7"/>
  <c r="C5" i="7"/>
  <c r="B5" i="7"/>
  <c r="A5" i="7"/>
  <c r="D11" i="6"/>
  <c r="D10" i="6"/>
  <c r="D9" i="6"/>
  <c r="D8" i="6"/>
  <c r="D7" i="6"/>
  <c r="D6" i="6"/>
  <c r="E27" i="11" l="1"/>
  <c r="F27" i="11" s="1"/>
  <c r="B45" i="11"/>
  <c r="B46" i="11" s="1"/>
  <c r="B17" i="11"/>
  <c r="E39" i="11"/>
  <c r="F39" i="11" s="1"/>
  <c r="D31" i="11"/>
  <c r="E31" i="11" s="1"/>
  <c r="F31" i="11" s="1"/>
  <c r="C36" i="11"/>
  <c r="E36" i="11" s="1"/>
  <c r="F36" i="11" s="1"/>
  <c r="D38" i="11"/>
  <c r="E38" i="11" s="1"/>
  <c r="F38" i="11" s="1"/>
  <c r="D24" i="11"/>
  <c r="E24" i="11" s="1"/>
  <c r="F24" i="11" s="1"/>
  <c r="C29" i="11"/>
  <c r="E29" i="11" s="1"/>
  <c r="F29" i="11" s="1"/>
  <c r="C32" i="11"/>
  <c r="E32" i="11" s="1"/>
  <c r="F32" i="11" s="1"/>
  <c r="D26" i="11"/>
  <c r="E26" i="11" s="1"/>
  <c r="F26" i="11" s="1"/>
  <c r="C25" i="11"/>
  <c r="E25" i="11" s="1"/>
  <c r="F25" i="11" s="1"/>
  <c r="C37" i="11"/>
  <c r="E37" i="11" s="1"/>
  <c r="F37" i="11" s="1"/>
  <c r="C30" i="11"/>
  <c r="E30" i="11" s="1"/>
  <c r="F30" i="11" s="1"/>
  <c r="C23" i="11"/>
  <c r="E23" i="11" s="1"/>
  <c r="F23" i="11" s="1"/>
  <c r="C35" i="11"/>
  <c r="E35" i="11" s="1"/>
  <c r="F35" i="11" s="1"/>
  <c r="E15" i="7"/>
  <c r="E16" i="7" s="1"/>
  <c r="E11" i="7"/>
  <c r="E20" i="7" l="1"/>
  <c r="E1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707F7-708F-4D7A-80C5-3B65AB74FCD2}" keepAlive="1" name="Query - Consumption" description="Connection to the 'Consumption' query in the workbook." type="5" refreshedVersion="8" background="1" saveData="1">
    <dbPr connection="Provider=Microsoft.Mashup.OleDb.1;Data Source=$Workbook$;Location=Consumption;Extended Properties=&quot;&quot;" command="SELECT * FROM [Consumption]"/>
  </connection>
  <connection id="2" xr16:uid="{2D0AFBF4-0B77-43E3-BA24-39D7E55FB634}" keepAlive="1" name="Query - CPI" description="Connection to the 'CPI' query in the workbook." type="5" refreshedVersion="8" background="1" saveData="1">
    <dbPr connection="Provider=Microsoft.Mashup.OleDb.1;Data Source=$Workbook$;Location=CPI;Extended Properties=&quot;&quot;" command="SELECT * FROM [CPI]"/>
  </connection>
  <connection id="3" xr16:uid="{B977BDAB-95ED-472F-9F44-EF25FD40D171}" keepAlive="1" name="Query - Retail Trade" description="Connection to the 'Retail Trade' query in the workbook." type="5" refreshedVersion="8" background="1" saveData="1">
    <dbPr connection="Provider=Microsoft.Mashup.OleDb.1;Data Source=$Workbook$;Location=&quot;Retail Trade&quot;;Extended Properties=&quot;&quot;" command="SELECT * FROM [Retail Trade]"/>
  </connection>
  <connection id="4" xr16:uid="{3356661F-B12A-4F18-BF47-16AFEAF6BE0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5DA6D035-DA6B-4D17-9B55-0805BDE3BC69}" name="WorksheetConnection_FMCG Analysis.xlsx!Consumption" type="102" refreshedVersion="8" minRefreshableVersion="5">
    <extLst>
      <ext xmlns:x15="http://schemas.microsoft.com/office/spreadsheetml/2010/11/main" uri="{DE250136-89BD-433C-8126-D09CA5730AF9}">
        <x15:connection id="Consumption">
          <x15:rangePr sourceName="_xlcn.WorksheetConnection_FMCGAnalysis.xlsxConsumption1"/>
        </x15:connection>
      </ext>
    </extLst>
  </connection>
  <connection id="6" xr16:uid="{E0820957-E39D-4358-975C-D14D96F3FB94}" name="WorksheetConnection_FMCG Analysis.xlsx!CPI" type="102" refreshedVersion="8" minRefreshableVersion="5">
    <extLst>
      <ext xmlns:x15="http://schemas.microsoft.com/office/spreadsheetml/2010/11/main" uri="{DE250136-89BD-433C-8126-D09CA5730AF9}">
        <x15:connection id="CPI">
          <x15:rangePr sourceName="_xlcn.WorksheetConnection_FMCGAnalysis.xlsxCPI1"/>
        </x15:connection>
      </ext>
    </extLst>
  </connection>
  <connection id="7" xr16:uid="{9549B273-985B-42F4-A28B-B65B3AFB3E08}" name="WorksheetConnection_FMCG Analysis.xlsx!Retail_Trade" type="102" refreshedVersion="8" minRefreshableVersion="5">
    <extLst>
      <ext xmlns:x15="http://schemas.microsoft.com/office/spreadsheetml/2010/11/main" uri="{DE250136-89BD-433C-8126-D09CA5730AF9}">
        <x15:connection id="Retail_Trade">
          <x15:rangePr sourceName="_xlcn.WorksheetConnection_FMCGAnalysis.xlsxRetail_Trade1"/>
        </x15:connection>
      </ext>
    </extLst>
  </connection>
</connections>
</file>

<file path=xl/sharedStrings.xml><?xml version="1.0" encoding="utf-8"?>
<sst xmlns="http://schemas.openxmlformats.org/spreadsheetml/2006/main" count="2134" uniqueCount="211">
  <si>
    <t>NETTUR</t>
  </si>
  <si>
    <t>G47</t>
  </si>
  <si>
    <t>BE</t>
  </si>
  <si>
    <t>DE</t>
  </si>
  <si>
    <t>DK</t>
  </si>
  <si>
    <t>FR</t>
  </si>
  <si>
    <t>NL</t>
  </si>
  <si>
    <t>SE</t>
  </si>
  <si>
    <t>G471</t>
  </si>
  <si>
    <t>G47_FOOD</t>
  </si>
  <si>
    <t>VOL_SLS</t>
  </si>
  <si>
    <t>CP01</t>
  </si>
  <si>
    <t>Indicator</t>
  </si>
  <si>
    <t>Sector</t>
  </si>
  <si>
    <t>Country</t>
  </si>
  <si>
    <t>Year</t>
  </si>
  <si>
    <t>Value</t>
  </si>
  <si>
    <t>Category</t>
  </si>
  <si>
    <t>CPI Value</t>
  </si>
  <si>
    <t>Row Labels</t>
  </si>
  <si>
    <t>Grand Total</t>
  </si>
  <si>
    <t>Column Labels</t>
  </si>
  <si>
    <t>Food Retail Value</t>
  </si>
  <si>
    <t>Total Food Retail Value</t>
  </si>
  <si>
    <t>Total Food Retail Volume</t>
  </si>
  <si>
    <t>Food Retail Volume</t>
  </si>
  <si>
    <t>Total YoY Growth</t>
  </si>
  <si>
    <t>YoY Growth</t>
  </si>
  <si>
    <t>Source</t>
  </si>
  <si>
    <t>France</t>
  </si>
  <si>
    <t>Netherlands</t>
  </si>
  <si>
    <t>Germany</t>
  </si>
  <si>
    <t>Belgium</t>
  </si>
  <si>
    <t>Sweden</t>
  </si>
  <si>
    <t>Denmark</t>
  </si>
  <si>
    <t>SOM Conservative</t>
  </si>
  <si>
    <t>SOM Optimistic</t>
  </si>
  <si>
    <t>Base Year</t>
  </si>
  <si>
    <t>Code</t>
  </si>
  <si>
    <t>In SAM?</t>
  </si>
  <si>
    <t>YES</t>
  </si>
  <si>
    <t>Eurostat HFCE 2022</t>
  </si>
  <si>
    <t>NO</t>
  </si>
  <si>
    <t>SECTION B — TAM / SAM / SOM PARAMETERS</t>
  </si>
  <si>
    <t>TAM Scope</t>
  </si>
  <si>
    <t>SAM Scope</t>
  </si>
  <si>
    <t>France + Netherlands only</t>
  </si>
  <si>
    <t>2022</t>
  </si>
  <si>
    <t>EUROPEAN FOOD RETAIL — MARKET SIZING ASSUMPTIONS 2022</t>
  </si>
  <si>
    <t>Source: Eurostat HFCE (CP_MEUR) and CPI sheet (PC_TOT). Blue = hardcoded input. Green = formula from CPI sheet.</t>
  </si>
  <si>
    <t>SECTION A — COUNTRY INPUT DATA (2022)</t>
  </si>
  <si>
    <t>Food Market Size (€M)</t>
  </si>
  <si>
    <t>Food % of Consumption</t>
  </si>
  <si>
    <t>All 6 countries (FR, NL, DE, BE, SE, DK)</t>
  </si>
  <si>
    <t>SOM Conservative %</t>
  </si>
  <si>
    <t>SOM Optimistic %</t>
  </si>
  <si>
    <t>MARKET SIZING — CALCULATION</t>
  </si>
  <si>
    <t>TOTAL ADDRESSABLE MARKET (TAM) — All 6 Countries</t>
  </si>
  <si>
    <t>Food Market (€M)</t>
  </si>
  <si>
    <t>Food % 2022</t>
  </si>
  <si>
    <t>Notes</t>
  </si>
  <si>
    <t>TOTAL TAM</t>
  </si>
  <si>
    <t>SERVICEABLE ADDRESSABLE MARKET (SAM) — France + Netherlands</t>
  </si>
  <si>
    <t>France food market (€M)</t>
  </si>
  <si>
    <t>Netherlands food market (€M)</t>
  </si>
  <si>
    <t>TOTAL SAM</t>
  </si>
  <si>
    <t>SERVICEABLE OBTAINABLE MARKET (SOM)</t>
  </si>
  <si>
    <t>SOM Conservative (3% of SAM)</t>
  </si>
  <si>
    <t>SOM Optimistic  (5% of SAM)</t>
  </si>
  <si>
    <t>EUROPEAN FOOD RETAIL MARKET — EXECUTIVE SUMMARY 2022</t>
  </si>
  <si>
    <t>All figures in €M  |  Base Year: 2022  |  Source: Eurostat HFCE</t>
  </si>
  <si>
    <t>TAM — All 6 Countries</t>
  </si>
  <si>
    <t>SAM — France + Netherlands</t>
  </si>
  <si>
    <t>SOM Conservative (3%)</t>
  </si>
  <si>
    <t>COUNTRY BREAKDOWN</t>
  </si>
  <si>
    <t>% of TAM</t>
  </si>
  <si>
    <t>Priority</t>
  </si>
  <si>
    <t>P1</t>
  </si>
  <si>
    <t>P2</t>
  </si>
  <si>
    <t>P3</t>
  </si>
  <si>
    <t>TAM / SAM / SOM SUMMARY</t>
  </si>
  <si>
    <t>Metric</t>
  </si>
  <si>
    <t>Scope</t>
  </si>
  <si>
    <t>Value (€M)</t>
  </si>
  <si>
    <t>TAM</t>
  </si>
  <si>
    <t>All 6 countries</t>
  </si>
  <si>
    <t>Total market</t>
  </si>
  <si>
    <t>SAM</t>
  </si>
  <si>
    <t>France + Netherlands</t>
  </si>
  <si>
    <t>Primary focus</t>
  </si>
  <si>
    <t>3% of SAM</t>
  </si>
  <si>
    <t>Base case</t>
  </si>
  <si>
    <t>5% of SAM</t>
  </si>
  <si>
    <t>Bull case</t>
  </si>
  <si>
    <t>FMCG PRICING SENSITIVITY MODEL — FRANCE + NETHERLANDS SAM</t>
  </si>
  <si>
    <t>Blue = input (change these)  |  Black = formula  |  Named Ranges used throughout</t>
  </si>
  <si>
    <t>SECTION A — PRICING INPUTS (change these to run scenarios)</t>
  </si>
  <si>
    <t>Base price per unit (€)</t>
  </si>
  <si>
    <t>← Named Range: 'Price'</t>
  </si>
  <si>
    <t>Base volume (units)</t>
  </si>
  <si>
    <t>← Named Range: 'Volume'</t>
  </si>
  <si>
    <t>Variable cost per unit (€)</t>
  </si>
  <si>
    <t>← Named Range: 'VarCost'</t>
  </si>
  <si>
    <t>Fixed costs (€)</t>
  </si>
  <si>
    <t>← Named Range: 'FixedCost'</t>
  </si>
  <si>
    <t>Price elasticity</t>
  </si>
  <si>
    <t>← Named Range: 'Elasticity'</t>
  </si>
  <si>
    <t>SECTION B — BASE CASE CALCULATIONS</t>
  </si>
  <si>
    <t>Revenue (€)</t>
  </si>
  <si>
    <t>Total variable costs (€)</t>
  </si>
  <si>
    <t>Contribution margin (€)</t>
  </si>
  <si>
    <t>Net margin (€)</t>
  </si>
  <si>
    <t>Net margin %</t>
  </si>
  <si>
    <t>Break-even volume</t>
  </si>
  <si>
    <t>SECTION C — PRICE SENSITIVITY TABLE (Data Table)</t>
  </si>
  <si>
    <t>What-If: How does Revenue, Margin change as Price varies €3.00 → €7.00?</t>
  </si>
  <si>
    <t>Price (€)</t>
  </si>
  <si>
    <t>Volume (adj.)*</t>
  </si>
  <si>
    <t>Variable Costs (€)</t>
  </si>
  <si>
    <t>Contribution Margin (€)</t>
  </si>
  <si>
    <t>Net Margin (€)</t>
  </si>
  <si>
    <t>← BASE CASE</t>
  </si>
  <si>
    <t>* Volume adjusted using price elasticity of -1.5 (1% price increase → 1.5% volume decrease). Standard FMCG assumption.</t>
  </si>
  <si>
    <t>SECTION D — GOAL SEEK: WHAT PRICE HITS TARGET MARGIN?</t>
  </si>
  <si>
    <t>Target net margin (€):</t>
  </si>
  <si>
    <t>Current net margin (€):</t>
  </si>
  <si>
    <t>Gap to target:</t>
  </si>
  <si>
    <t>HOW TO RUN GOAL SEEK:</t>
  </si>
  <si>
    <t>1. Click on cell B16 (Net margin)</t>
  </si>
  <si>
    <t>2. Go to Data tab → What-If Analysis → Goal Seek</t>
  </si>
  <si>
    <t>3. Set cell: B16  |  To value: 2000000  |  By changing cell: B5</t>
  </si>
  <si>
    <t>4. Click OK → Excel finds the exact price that hits €2M net margin</t>
  </si>
  <si>
    <t>5. Note the price → that is your Goal Seek answer for interviews</t>
  </si>
  <si>
    <t>FMCG COMPETITIVE INTELLIGENCE TRACKER — 10 COMPANIES | 2019–2023</t>
  </si>
  <si>
    <t>Source: Company Annual Reports 2019-2023  |  Red = High threat (&gt;5% growth)  |  Amber = Watch (0-5%)  |  Green = Low threat (&lt;0%)</t>
  </si>
  <si>
    <t>SECTION A — COMPETITIVE SNAPSHOT 2023 (Latest Year)</t>
  </si>
  <si>
    <t>Company</t>
  </si>
  <si>
    <t>HQ</t>
  </si>
  <si>
    <t>Revenue 2023 (€M)</t>
  </si>
  <si>
    <t>YoY Growth 2023</t>
  </si>
  <si>
    <t>Op. Margin 2023</t>
  </si>
  <si>
    <t>Revenue 2019 (€M)</t>
  </si>
  <si>
    <t>Revenue CAGR 2019-23</t>
  </si>
  <si>
    <t>Peak Year</t>
  </si>
  <si>
    <t>Threat Level</t>
  </si>
  <si>
    <t>Nestle</t>
  </si>
  <si>
    <t>Food &amp; Beverage</t>
  </si>
  <si>
    <t>Switzerland</t>
  </si>
  <si>
    <t>🟢 LOW</t>
  </si>
  <si>
    <t>Nestle Annual Report 2023</t>
  </si>
  <si>
    <t>Unilever</t>
  </si>
  <si>
    <t>FMCG - Personal Care / Food</t>
  </si>
  <si>
    <t>UK/Netherlands</t>
  </si>
  <si>
    <t>🔴 HIGH</t>
  </si>
  <si>
    <t>Unilever Annual Report 2023</t>
  </si>
  <si>
    <t>Danone</t>
  </si>
  <si>
    <t>Food &amp; Beverage - Dairy</t>
  </si>
  <si>
    <t>Danone Annual Report 2023</t>
  </si>
  <si>
    <t>AB InBev</t>
  </si>
  <si>
    <t>Beer &amp; Beverages</t>
  </si>
  <si>
    <t>AB InBev Full Year Results 2023</t>
  </si>
  <si>
    <t>Heineken</t>
  </si>
  <si>
    <t>Heineken Annual Report 2023</t>
  </si>
  <si>
    <t>Carlsberg</t>
  </si>
  <si>
    <t>Carlsberg Annual Report 2023</t>
  </si>
  <si>
    <t>L'Oreal</t>
  </si>
  <si>
    <t>Beauty &amp; Personal Care</t>
  </si>
  <si>
    <t>L'Oreal 2023 Annual Results</t>
  </si>
  <si>
    <t>Pernod Ricard</t>
  </si>
  <si>
    <t>Spirits &amp; Beverages</t>
  </si>
  <si>
    <t>Pernod Ricard FY23 Annual Report</t>
  </si>
  <si>
    <t>Reckitt</t>
  </si>
  <si>
    <t>Health &amp; Hygiene</t>
  </si>
  <si>
    <t>UK</t>
  </si>
  <si>
    <t>Reckitt Annual Report 2023</t>
  </si>
  <si>
    <t>P&amp;G</t>
  </si>
  <si>
    <t>FMCG - Multi-category</t>
  </si>
  <si>
    <t>USA</t>
  </si>
  <si>
    <t>P&amp;G Annual Report 2023 (Europe segment)</t>
  </si>
  <si>
    <t>SECTION B — REVENUE TREND 2019–2023 (€M)</t>
  </si>
  <si>
    <t>2019</t>
  </si>
  <si>
    <t>2020</t>
  </si>
  <si>
    <t>2021</t>
  </si>
  <si>
    <t>2023</t>
  </si>
  <si>
    <t>2020 vs 19</t>
  </si>
  <si>
    <t>2021 vs 20</t>
  </si>
  <si>
    <t>2022 vs 21</t>
  </si>
  <si>
    <t>2023 vs 22</t>
  </si>
  <si>
    <t>SECTION C — STRATEGIC MOVES &amp; INTELLIGENCE NOTES</t>
  </si>
  <si>
    <t>Key Strategic Move 2023-2024</t>
  </si>
  <si>
    <t>Implication for FMCG Market</t>
  </si>
  <si>
    <t>Divesting underperforming brands; doubling down on premium nutrition</t>
  </si>
  <si>
    <t>Portfolio simplification signals category consolidation — fewer, stronger brands</t>
  </si>
  <si>
    <t>Spinning off ice cream division (Ben &amp; Jerry's); portfolio simplification</t>
  </si>
  <si>
    <t>Ice cream spin-off creates M&amp;A opportunity; focused portfolio = stronger competition</t>
  </si>
  <si>
    <t>Renew Danone strategy — €1B cost cuts; refocus on 4 core categories</t>
  </si>
  <si>
    <t>Cost-cutting may reduce innovation spend — potential category share gap opening</t>
  </si>
  <si>
    <t>Premiumisation push; expanding non-alcoholic beer (Budweiser Zero)</t>
  </si>
  <si>
    <t>Non-alcoholic growth threatens adjacent categories; strong pricing power</t>
  </si>
  <si>
    <t>EverGreen strategy — expanding in Asia &amp; Africa; sustainability focus</t>
  </si>
  <si>
    <t>Geographic expansion reduces European dependency — long-term revenue stability</t>
  </si>
  <si>
    <t>SAIL'27 strategy — premiumisation &amp; digital transformation</t>
  </si>
  <si>
    <t>Premiumisation raises ASP — volume may soften but margin improves</t>
  </si>
  <si>
    <t>Acquisitions in luxury &amp; dermatology; AI-powered personalisation</t>
  </si>
  <si>
    <t>AI personalisation could disrupt traditional MI — watch tech investment</t>
  </si>
  <si>
    <t>Strategic reset — US slowdown; prioritising India &amp; travel retail</t>
  </si>
  <si>
    <t>US weakness creates European opportunity; travel retail key battleground</t>
  </si>
  <si>
    <t>Separating health &amp; hygiene; Mead Johnson nutrition disposal</t>
  </si>
  <si>
    <t>Structural separation may unlock value; health division = high-margin focus</t>
  </si>
  <si>
    <t>Resilient in Europe; price increases driving revenue despite volume dip</t>
  </si>
  <si>
    <t>Pricing power held in Europe; volume recovery signal for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</si>
</sst>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%"/>
    <numFmt numFmtId="169" formatCode="\€#,##0"/>
    <numFmt numFmtId="170" formatCode="\€#,##0.00"/>
    <numFmt numFmtId="171" formatCode="0.0"/>
  </numFmts>
  <fonts count="22" x14ac:knownFonts="1">
    <font>
      <sz val="11"/>
      <color theme="1"/>
      <name val="Calibri"/>
      <family val="2"/>
      <scheme val="minor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9"/>
      <color rgb="FF595959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4"/>
      <color rgb="FF2E75B6"/>
      <name val="Arial"/>
      <charset val="1"/>
    </font>
    <font>
      <sz val="10"/>
      <color rgb="FF595959"/>
      <name val="Arial"/>
      <charset val="1"/>
    </font>
    <font>
      <b/>
      <sz val="10"/>
      <color rgb="FF0000FF"/>
      <name val="Arial"/>
      <charset val="1"/>
    </font>
    <font>
      <b/>
      <sz val="9"/>
      <color rgb="FFC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b/>
      <sz val="9"/>
      <color rgb="FF375623"/>
      <name val="Arial"/>
      <charset val="1"/>
    </font>
    <font>
      <sz val="9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70AD47"/>
        <bgColor rgb="FF8B8B8B"/>
      </patternFill>
    </fill>
    <fill>
      <patternFill patternType="solid">
        <fgColor rgb="FF1F3864"/>
        <bgColor rgb="FF33339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/>
  </cellStyleXfs>
  <cellXfs count="12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 applyFont="1" applyFill="1" applyAlignment="1">
      <alignment horizontal="center" vertical="center"/>
    </xf>
    <xf numFmtId="0" fontId="10" fillId="0" borderId="0" xfId="1"/>
    <xf numFmtId="0" fontId="2" fillId="0" borderId="0" xfId="1" applyFont="1"/>
    <xf numFmtId="0" fontId="3" fillId="4" borderId="1" xfId="1" applyFont="1" applyFill="1" applyBorder="1" applyAlignment="1">
      <alignment horizontal="left" vertical="center" indent="1"/>
    </xf>
    <xf numFmtId="0" fontId="3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left" vertical="center" indent="1"/>
    </xf>
    <xf numFmtId="0" fontId="6" fillId="5" borderId="1" xfId="1" applyFont="1" applyFill="1" applyBorder="1" applyAlignment="1">
      <alignment horizontal="center" vertical="center"/>
    </xf>
    <xf numFmtId="3" fontId="6" fillId="5" borderId="1" xfId="1" applyNumberFormat="1" applyFont="1" applyFill="1" applyBorder="1" applyAlignment="1">
      <alignment horizontal="right" vertical="center"/>
    </xf>
    <xf numFmtId="168" fontId="7" fillId="5" borderId="1" xfId="1" applyNumberFormat="1" applyFont="1" applyFill="1" applyBorder="1" applyAlignment="1">
      <alignment horizontal="center" vertical="center"/>
    </xf>
    <xf numFmtId="0" fontId="8" fillId="5" borderId="1" xfId="1" applyFont="1" applyFill="1" applyBorder="1"/>
    <xf numFmtId="0" fontId="4" fillId="3" borderId="1" xfId="1" applyFont="1" applyFill="1" applyBorder="1" applyAlignment="1">
      <alignment horizontal="left" vertical="center" indent="1"/>
    </xf>
    <xf numFmtId="0" fontId="6" fillId="3" borderId="1" xfId="1" applyFont="1" applyFill="1" applyBorder="1" applyAlignment="1">
      <alignment horizontal="center" vertical="center"/>
    </xf>
    <xf numFmtId="3" fontId="6" fillId="3" borderId="1" xfId="1" applyNumberFormat="1" applyFont="1" applyFill="1" applyBorder="1" applyAlignment="1">
      <alignment horizontal="right" vertical="center"/>
    </xf>
    <xf numFmtId="168" fontId="7" fillId="3" borderId="1" xfId="1" applyNumberFormat="1" applyFont="1" applyFill="1" applyBorder="1" applyAlignment="1">
      <alignment horizontal="center" vertical="center"/>
    </xf>
    <xf numFmtId="0" fontId="8" fillId="3" borderId="1" xfId="1" applyFont="1" applyFill="1" applyBorder="1"/>
    <xf numFmtId="0" fontId="9" fillId="0" borderId="0" xfId="1" applyFont="1" applyAlignment="1">
      <alignment horizontal="left" indent="1"/>
    </xf>
    <xf numFmtId="0" fontId="6" fillId="0" borderId="0" xfId="1" applyFont="1"/>
    <xf numFmtId="9" fontId="6" fillId="0" borderId="0" xfId="1" applyNumberFormat="1" applyFont="1"/>
    <xf numFmtId="0" fontId="7" fillId="3" borderId="1" xfId="1" applyFont="1" applyFill="1" applyBorder="1" applyAlignment="1">
      <alignment horizontal="left" vertical="center" indent="1"/>
    </xf>
    <xf numFmtId="0" fontId="7" fillId="3" borderId="1" xfId="1" applyFont="1" applyFill="1" applyBorder="1" applyAlignment="1">
      <alignment horizontal="center" vertical="center"/>
    </xf>
    <xf numFmtId="3" fontId="7" fillId="3" borderId="1" xfId="1" applyNumberFormat="1" applyFont="1" applyFill="1" applyBorder="1" applyAlignment="1">
      <alignment horizontal="right" vertical="center"/>
    </xf>
    <xf numFmtId="3" fontId="5" fillId="3" borderId="1" xfId="1" applyNumberFormat="1" applyFont="1" applyFill="1" applyBorder="1" applyAlignment="1">
      <alignment horizontal="right" vertical="center"/>
    </xf>
    <xf numFmtId="0" fontId="5" fillId="3" borderId="1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horizontal="left" vertical="center" indent="1"/>
    </xf>
    <xf numFmtId="0" fontId="7" fillId="5" borderId="1" xfId="1" applyFont="1" applyFill="1" applyBorder="1" applyAlignment="1">
      <alignment horizontal="center" vertical="center"/>
    </xf>
    <xf numFmtId="3" fontId="7" fillId="5" borderId="1" xfId="1" applyNumberFormat="1" applyFont="1" applyFill="1" applyBorder="1" applyAlignment="1">
      <alignment horizontal="right" vertical="center"/>
    </xf>
    <xf numFmtId="3" fontId="5" fillId="5" borderId="1" xfId="1" applyNumberFormat="1" applyFont="1" applyFill="1" applyBorder="1" applyAlignment="1">
      <alignment horizontal="right" vertical="center"/>
    </xf>
    <xf numFmtId="0" fontId="5" fillId="5" borderId="1" xfId="1" applyFont="1" applyFill="1" applyBorder="1" applyAlignment="1">
      <alignment horizontal="left" vertical="center" indent="1"/>
    </xf>
    <xf numFmtId="0" fontId="9" fillId="3" borderId="2" xfId="1" applyFont="1" applyFill="1" applyBorder="1"/>
    <xf numFmtId="3" fontId="9" fillId="3" borderId="1" xfId="1" applyNumberFormat="1" applyFont="1" applyFill="1" applyBorder="1" applyAlignment="1">
      <alignment horizontal="right"/>
    </xf>
    <xf numFmtId="0" fontId="10" fillId="3" borderId="1" xfId="1" applyFill="1" applyBorder="1"/>
    <xf numFmtId="3" fontId="7" fillId="0" borderId="1" xfId="1" applyNumberFormat="1" applyFont="1" applyBorder="1" applyAlignment="1">
      <alignment horizontal="right"/>
    </xf>
    <xf numFmtId="0" fontId="9" fillId="6" borderId="2" xfId="1" applyFont="1" applyFill="1" applyBorder="1"/>
    <xf numFmtId="3" fontId="9" fillId="6" borderId="1" xfId="1" applyNumberFormat="1" applyFont="1" applyFill="1" applyBorder="1" applyAlignment="1">
      <alignment horizontal="right"/>
    </xf>
    <xf numFmtId="0" fontId="9" fillId="7" borderId="0" xfId="1" applyFont="1" applyFill="1" applyAlignment="1">
      <alignment horizontal="left" indent="1"/>
    </xf>
    <xf numFmtId="3" fontId="11" fillId="7" borderId="1" xfId="1" applyNumberFormat="1" applyFont="1" applyFill="1" applyBorder="1" applyAlignment="1">
      <alignment horizontal="right"/>
    </xf>
    <xf numFmtId="0" fontId="3" fillId="2" borderId="0" xfId="1" applyFont="1" applyFill="1" applyAlignment="1">
      <alignment horizontal="center" vertical="center"/>
    </xf>
    <xf numFmtId="169" fontId="12" fillId="3" borderId="0" xfId="1" applyNumberFormat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/>
    </xf>
    <xf numFmtId="0" fontId="9" fillId="3" borderId="1" xfId="1" applyFont="1" applyFill="1" applyBorder="1" applyAlignment="1">
      <alignment horizontal="left" indent="1"/>
    </xf>
    <xf numFmtId="3" fontId="7" fillId="3" borderId="1" xfId="1" applyNumberFormat="1" applyFont="1" applyFill="1" applyBorder="1" applyAlignment="1">
      <alignment horizontal="right"/>
    </xf>
    <xf numFmtId="168" fontId="11" fillId="3" borderId="1" xfId="1" applyNumberFormat="1" applyFont="1" applyFill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3" fillId="8" borderId="1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left" indent="1"/>
    </xf>
    <xf numFmtId="3" fontId="7" fillId="5" borderId="1" xfId="1" applyNumberFormat="1" applyFont="1" applyFill="1" applyBorder="1" applyAlignment="1">
      <alignment horizontal="right"/>
    </xf>
    <xf numFmtId="168" fontId="11" fillId="5" borderId="1" xfId="1" applyNumberFormat="1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4" fillId="9" borderId="1" xfId="1" applyFont="1" applyFill="1" applyBorder="1" applyAlignment="1">
      <alignment horizontal="center"/>
    </xf>
    <xf numFmtId="0" fontId="4" fillId="10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left" indent="1"/>
    </xf>
    <xf numFmtId="0" fontId="5" fillId="5" borderId="1" xfId="1" applyFont="1" applyFill="1" applyBorder="1" applyAlignment="1">
      <alignment horizontal="left"/>
    </xf>
    <xf numFmtId="169" fontId="5" fillId="5" borderId="1" xfId="1" applyNumberFormat="1" applyFont="1" applyFill="1" applyBorder="1" applyAlignment="1">
      <alignment horizontal="right"/>
    </xf>
    <xf numFmtId="168" fontId="5" fillId="5" borderId="1" xfId="1" applyNumberFormat="1" applyFont="1" applyFill="1" applyBorder="1" applyAlignment="1">
      <alignment horizontal="center"/>
    </xf>
    <xf numFmtId="0" fontId="13" fillId="5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indent="1"/>
    </xf>
    <xf numFmtId="0" fontId="5" fillId="3" borderId="1" xfId="1" applyFont="1" applyFill="1" applyBorder="1" applyAlignment="1">
      <alignment horizontal="left"/>
    </xf>
    <xf numFmtId="169" fontId="5" fillId="3" borderId="1" xfId="1" applyNumberFormat="1" applyFont="1" applyFill="1" applyBorder="1" applyAlignment="1">
      <alignment horizontal="right"/>
    </xf>
    <xf numFmtId="168" fontId="5" fillId="3" borderId="1" xfId="1" applyNumberFormat="1" applyFont="1" applyFill="1" applyBorder="1" applyAlignment="1">
      <alignment horizontal="center"/>
    </xf>
    <xf numFmtId="0" fontId="13" fillId="3" borderId="1" xfId="1" applyFont="1" applyFill="1" applyBorder="1" applyAlignment="1">
      <alignment horizontal="left"/>
    </xf>
    <xf numFmtId="170" fontId="6" fillId="3" borderId="1" xfId="1" applyNumberFormat="1" applyFont="1" applyFill="1" applyBorder="1" applyAlignment="1">
      <alignment horizontal="right"/>
    </xf>
    <xf numFmtId="0" fontId="2" fillId="0" borderId="0" xfId="1" applyFont="1"/>
    <xf numFmtId="3" fontId="6" fillId="3" borderId="1" xfId="1" applyNumberFormat="1" applyFont="1" applyFill="1" applyBorder="1" applyAlignment="1">
      <alignment horizontal="right"/>
    </xf>
    <xf numFmtId="169" fontId="6" fillId="3" borderId="1" xfId="1" applyNumberFormat="1" applyFont="1" applyFill="1" applyBorder="1" applyAlignment="1">
      <alignment horizontal="right"/>
    </xf>
    <xf numFmtId="171" fontId="6" fillId="3" borderId="1" xfId="1" applyNumberFormat="1" applyFont="1" applyFill="1" applyBorder="1" applyAlignment="1">
      <alignment horizontal="right"/>
    </xf>
    <xf numFmtId="0" fontId="9" fillId="3" borderId="0" xfId="1" applyFont="1" applyFill="1" applyAlignment="1">
      <alignment horizontal="left" indent="1"/>
    </xf>
    <xf numFmtId="169" fontId="11" fillId="3" borderId="1" xfId="1" applyNumberFormat="1" applyFont="1" applyFill="1" applyBorder="1" applyAlignment="1">
      <alignment horizontal="right"/>
    </xf>
    <xf numFmtId="0" fontId="9" fillId="5" borderId="0" xfId="1" applyFont="1" applyFill="1" applyAlignment="1">
      <alignment horizontal="left" indent="1"/>
    </xf>
    <xf numFmtId="169" fontId="11" fillId="5" borderId="1" xfId="1" applyNumberFormat="1" applyFont="1" applyFill="1" applyBorder="1" applyAlignment="1">
      <alignment horizontal="right"/>
    </xf>
    <xf numFmtId="169" fontId="9" fillId="6" borderId="1" xfId="1" applyNumberFormat="1" applyFont="1" applyFill="1" applyBorder="1" applyAlignment="1">
      <alignment horizontal="right"/>
    </xf>
    <xf numFmtId="168" fontId="11" fillId="5" borderId="1" xfId="1" applyNumberFormat="1" applyFont="1" applyFill="1" applyBorder="1" applyAlignment="1">
      <alignment horizontal="right"/>
    </xf>
    <xf numFmtId="3" fontId="11" fillId="3" borderId="1" xfId="1" applyNumberFormat="1" applyFont="1" applyFill="1" applyBorder="1" applyAlignment="1">
      <alignment horizontal="right"/>
    </xf>
    <xf numFmtId="170" fontId="6" fillId="3" borderId="1" xfId="1" applyNumberFormat="1" applyFont="1" applyFill="1" applyBorder="1" applyAlignment="1">
      <alignment horizontal="center"/>
    </xf>
    <xf numFmtId="170" fontId="6" fillId="5" borderId="1" xfId="1" applyNumberFormat="1" applyFont="1" applyFill="1" applyBorder="1" applyAlignment="1">
      <alignment horizontal="center"/>
    </xf>
    <xf numFmtId="3" fontId="11" fillId="5" borderId="1" xfId="1" applyNumberFormat="1" applyFont="1" applyFill="1" applyBorder="1" applyAlignment="1">
      <alignment horizontal="right"/>
    </xf>
    <xf numFmtId="170" fontId="14" fillId="7" borderId="1" xfId="1" applyNumberFormat="1" applyFont="1" applyFill="1" applyBorder="1" applyAlignment="1">
      <alignment horizontal="center"/>
    </xf>
    <xf numFmtId="3" fontId="4" fillId="7" borderId="1" xfId="1" applyNumberFormat="1" applyFont="1" applyFill="1" applyBorder="1" applyAlignment="1">
      <alignment horizontal="right"/>
    </xf>
    <xf numFmtId="169" fontId="4" fillId="7" borderId="1" xfId="1" applyNumberFormat="1" applyFont="1" applyFill="1" applyBorder="1" applyAlignment="1">
      <alignment horizontal="right"/>
    </xf>
    <xf numFmtId="0" fontId="15" fillId="0" borderId="0" xfId="1" applyFont="1"/>
    <xf numFmtId="169" fontId="6" fillId="3" borderId="1" xfId="1" applyNumberFormat="1" applyFont="1" applyFill="1" applyBorder="1"/>
    <xf numFmtId="169" fontId="7" fillId="0" borderId="1" xfId="1" applyNumberFormat="1" applyFont="1" applyBorder="1"/>
    <xf numFmtId="169" fontId="11" fillId="0" borderId="1" xfId="1" applyNumberFormat="1" applyFont="1" applyBorder="1"/>
    <xf numFmtId="0" fontId="11" fillId="0" borderId="0" xfId="1" applyFont="1" applyAlignment="1">
      <alignment horizontal="left" indent="2"/>
    </xf>
    <xf numFmtId="0" fontId="1" fillId="11" borderId="0" xfId="1" applyFont="1" applyFill="1" applyAlignment="1">
      <alignment horizontal="center" vertical="center"/>
    </xf>
    <xf numFmtId="0" fontId="16" fillId="4" borderId="1" xfId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left" vertical="center" wrapText="1" indent="1"/>
    </xf>
    <xf numFmtId="0" fontId="18" fillId="5" borderId="1" xfId="1" applyFont="1" applyFill="1" applyBorder="1" applyAlignment="1">
      <alignment horizontal="left" vertical="center" wrapText="1" indent="1"/>
    </xf>
    <xf numFmtId="0" fontId="18" fillId="5" borderId="1" xfId="1" applyFont="1" applyFill="1" applyBorder="1" applyAlignment="1">
      <alignment horizontal="center" vertical="center" wrapText="1"/>
    </xf>
    <xf numFmtId="3" fontId="18" fillId="5" borderId="1" xfId="1" applyNumberFormat="1" applyFont="1" applyFill="1" applyBorder="1" applyAlignment="1">
      <alignment horizontal="right" vertical="center" wrapText="1"/>
    </xf>
    <xf numFmtId="168" fontId="19" fillId="6" borderId="1" xfId="1" applyNumberFormat="1" applyFont="1" applyFill="1" applyBorder="1" applyAlignment="1">
      <alignment horizontal="center" vertical="center" wrapText="1"/>
    </xf>
    <xf numFmtId="168" fontId="18" fillId="5" borderId="1" xfId="1" applyNumberFormat="1" applyFont="1" applyFill="1" applyBorder="1" applyAlignment="1">
      <alignment horizontal="center" vertical="center" wrapText="1"/>
    </xf>
    <xf numFmtId="1" fontId="18" fillId="5" borderId="1" xfId="1" applyNumberFormat="1" applyFont="1" applyFill="1" applyBorder="1" applyAlignment="1">
      <alignment horizontal="center" vertical="center" wrapText="1"/>
    </xf>
    <xf numFmtId="0" fontId="20" fillId="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left" vertical="center" wrapText="1" indent="1"/>
    </xf>
    <xf numFmtId="0" fontId="17" fillId="3" borderId="1" xfId="1" applyFont="1" applyFill="1" applyBorder="1" applyAlignment="1">
      <alignment horizontal="left" vertical="center" wrapText="1" indent="1"/>
    </xf>
    <xf numFmtId="0" fontId="18" fillId="3" borderId="1" xfId="1" applyFont="1" applyFill="1" applyBorder="1" applyAlignment="1">
      <alignment horizontal="left" vertical="center" wrapText="1" indent="1"/>
    </xf>
    <xf numFmtId="0" fontId="18" fillId="3" borderId="1" xfId="1" applyFont="1" applyFill="1" applyBorder="1" applyAlignment="1">
      <alignment horizontal="center" vertical="center" wrapText="1"/>
    </xf>
    <xf numFmtId="3" fontId="18" fillId="3" borderId="1" xfId="1" applyNumberFormat="1" applyFont="1" applyFill="1" applyBorder="1" applyAlignment="1">
      <alignment horizontal="right" vertical="center" wrapText="1"/>
    </xf>
    <xf numFmtId="168" fontId="15" fillId="12" borderId="1" xfId="1" applyNumberFormat="1" applyFont="1" applyFill="1" applyBorder="1" applyAlignment="1">
      <alignment horizontal="center" vertical="center" wrapText="1"/>
    </xf>
    <xf numFmtId="168" fontId="18" fillId="3" borderId="1" xfId="1" applyNumberFormat="1" applyFont="1" applyFill="1" applyBorder="1" applyAlignment="1">
      <alignment horizontal="center" vertical="center" wrapText="1"/>
    </xf>
    <xf numFmtId="1" fontId="18" fillId="3" borderId="1" xfId="1" applyNumberFormat="1" applyFont="1" applyFill="1" applyBorder="1" applyAlignment="1">
      <alignment horizontal="center" vertical="center" wrapText="1"/>
    </xf>
    <xf numFmtId="0" fontId="15" fillId="1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left" vertical="center" wrapText="1" indent="1"/>
    </xf>
    <xf numFmtId="168" fontId="18" fillId="13" borderId="1" xfId="1" applyNumberFormat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left" vertical="center" indent="1"/>
    </xf>
    <xf numFmtId="0" fontId="18" fillId="5" borderId="1" xfId="1" applyFont="1" applyFill="1" applyBorder="1" applyAlignment="1">
      <alignment horizontal="left" vertical="center" indent="1"/>
    </xf>
    <xf numFmtId="3" fontId="18" fillId="5" borderId="1" xfId="1" applyNumberFormat="1" applyFont="1" applyFill="1" applyBorder="1" applyAlignment="1">
      <alignment horizontal="right" vertical="center"/>
    </xf>
    <xf numFmtId="168" fontId="19" fillId="6" borderId="1" xfId="1" applyNumberFormat="1" applyFont="1" applyFill="1" applyBorder="1" applyAlignment="1">
      <alignment horizontal="center" vertical="center"/>
    </xf>
    <xf numFmtId="168" fontId="18" fillId="13" borderId="1" xfId="1" applyNumberFormat="1" applyFont="1" applyFill="1" applyBorder="1" applyAlignment="1">
      <alignment horizontal="center" vertical="center"/>
    </xf>
    <xf numFmtId="168" fontId="15" fillId="12" borderId="1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left" vertical="center" indent="1"/>
    </xf>
    <xf numFmtId="0" fontId="18" fillId="3" borderId="1" xfId="1" applyFont="1" applyFill="1" applyBorder="1" applyAlignment="1">
      <alignment horizontal="left" vertical="center" indent="1"/>
    </xf>
    <xf numFmtId="3" fontId="18" fillId="3" borderId="1" xfId="1" applyNumberFormat="1" applyFont="1" applyFill="1" applyBorder="1" applyAlignment="1">
      <alignment horizontal="right" vertical="center"/>
    </xf>
    <xf numFmtId="0" fontId="21" fillId="5" borderId="1" xfId="1" applyFont="1" applyFill="1" applyBorder="1" applyAlignment="1">
      <alignment horizontal="center" vertical="center" wrapText="1"/>
    </xf>
    <xf numFmtId="0" fontId="21" fillId="5" borderId="1" xfId="1" applyFont="1" applyFill="1" applyBorder="1" applyAlignment="1">
      <alignment horizontal="left" vertical="center" wrapText="1" indent="1"/>
    </xf>
    <xf numFmtId="0" fontId="21" fillId="3" borderId="1" xfId="1" applyFont="1" applyFill="1" applyBorder="1" applyAlignment="1">
      <alignment horizontal="center" vertical="center" wrapText="1"/>
    </xf>
    <xf numFmtId="0" fontId="21" fillId="3" borderId="1" xfId="1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3B9ABC0E-3F63-4890-A592-C060A67A0F5D}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Food Market Size by Country (€M, 2022)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Output!$B$8</c:f>
              <c:strCache>
                <c:ptCount val="1"/>
                <c:pt idx="0">
                  <c:v>Food Market (€M)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Output!$A$9:$A$14</c:f>
              <c:strCache>
                <c:ptCount val="6"/>
                <c:pt idx="0">
                  <c:v>France</c:v>
                </c:pt>
                <c:pt idx="1">
                  <c:v>Netherlands</c:v>
                </c:pt>
                <c:pt idx="2">
                  <c:v>Germany</c:v>
                </c:pt>
                <c:pt idx="3">
                  <c:v>Belgium</c:v>
                </c:pt>
                <c:pt idx="4">
                  <c:v>Sweden</c:v>
                </c:pt>
                <c:pt idx="5">
                  <c:v>Denmark</c:v>
                </c:pt>
              </c:strCache>
            </c:strRef>
          </c:cat>
          <c:val>
            <c:numRef>
              <c:f>Output!$B$9:$B$14</c:f>
              <c:numCache>
                <c:formatCode>#,##0</c:formatCode>
                <c:ptCount val="6"/>
                <c:pt idx="0">
                  <c:v>182900</c:v>
                </c:pt>
                <c:pt idx="1">
                  <c:v>47169</c:v>
                </c:pt>
                <c:pt idx="2">
                  <c:v>216357</c:v>
                </c:pt>
                <c:pt idx="3">
                  <c:v>32568</c:v>
                </c:pt>
                <c:pt idx="4">
                  <c:v>30400</c:v>
                </c:pt>
                <c:pt idx="5">
                  <c:v>19252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35-4CE9-894C-637D52783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8640"/>
        <c:axId val="40723774"/>
      </c:barChart>
      <c:catAx>
        <c:axId val="425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23774"/>
        <c:crosses val="autoZero"/>
        <c:auto val="1"/>
        <c:lblAlgn val="ctr"/>
        <c:lblOffset val="100"/>
        <c:noMultiLvlLbl val="0"/>
      </c:catAx>
      <c:valAx>
        <c:axId val="4072377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586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Net Margin vs Price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Pricing_Model!$C$22</c:f>
              <c:strCache>
                <c:ptCount val="1"/>
                <c:pt idx="0">
                  <c:v>Revenue (€)</c:v>
                </c:pt>
              </c:strCache>
            </c:strRef>
          </c:tx>
          <c:spPr>
            <a:ln w="316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Pricing_Model!$A$23:$A$39</c:f>
              <c:numCache>
                <c:formatCode>\€#,##0.00</c:formatCode>
                <c:ptCount val="17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</c:numCache>
            </c:numRef>
          </c:cat>
          <c:val>
            <c:numRef>
              <c:f>Pricing_Model!$C$23:$C$39</c:f>
              <c:numCache>
                <c:formatCode>\€#,##0</c:formatCode>
                <c:ptCount val="17"/>
                <c:pt idx="0">
                  <c:v>4500000</c:v>
                </c:pt>
                <c:pt idx="1">
                  <c:v>4604166.666666667</c:v>
                </c:pt>
                <c:pt idx="2">
                  <c:v>4666666.666666666</c:v>
                </c:pt>
                <c:pt idx="3">
                  <c:v>4687500</c:v>
                </c:pt>
                <c:pt idx="4">
                  <c:v>4666666.666666667</c:v>
                </c:pt>
                <c:pt idx="5">
                  <c:v>4604166.666666666</c:v>
                </c:pt>
                <c:pt idx="6">
                  <c:v>4500000</c:v>
                </c:pt>
                <c:pt idx="7">
                  <c:v>4354166.666666666</c:v>
                </c:pt>
                <c:pt idx="8">
                  <c:v>4166666.666666667</c:v>
                </c:pt>
                <c:pt idx="9">
                  <c:v>3937500</c:v>
                </c:pt>
                <c:pt idx="10">
                  <c:v>3666666.666666667</c:v>
                </c:pt>
                <c:pt idx="11">
                  <c:v>3354166.666666666</c:v>
                </c:pt>
                <c:pt idx="12">
                  <c:v>3000000</c:v>
                </c:pt>
                <c:pt idx="13">
                  <c:v>2604166.6666666665</c:v>
                </c:pt>
                <c:pt idx="14">
                  <c:v>2166666.666666667</c:v>
                </c:pt>
                <c:pt idx="15">
                  <c:v>1687500</c:v>
                </c:pt>
                <c:pt idx="16">
                  <c:v>1166666.6666666665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90-40DE-964A-F73638A3F09F}"/>
            </c:ext>
          </c:extLst>
        </c:ser>
        <c:ser>
          <c:idx val="1"/>
          <c:order val="1"/>
          <c:tx>
            <c:strRef>
              <c:f>Pricing_Model!$F$22</c:f>
              <c:strCache>
                <c:ptCount val="1"/>
                <c:pt idx="0">
                  <c:v>Net Margin (€)</c:v>
                </c:pt>
              </c:strCache>
            </c:strRef>
          </c:tx>
          <c:spPr>
            <a:ln w="316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Pricing_Model!$A$23:$A$39</c:f>
              <c:numCache>
                <c:formatCode>\€#,##0.00</c:formatCode>
                <c:ptCount val="17"/>
                <c:pt idx="0">
                  <c:v>3</c:v>
                </c:pt>
                <c:pt idx="1">
                  <c:v>3.25</c:v>
                </c:pt>
                <c:pt idx="2">
                  <c:v>3.5</c:v>
                </c:pt>
                <c:pt idx="3">
                  <c:v>3.75</c:v>
                </c:pt>
                <c:pt idx="4">
                  <c:v>4</c:v>
                </c:pt>
                <c:pt idx="5">
                  <c:v>4.25</c:v>
                </c:pt>
                <c:pt idx="6">
                  <c:v>4.5</c:v>
                </c:pt>
                <c:pt idx="7">
                  <c:v>4.75</c:v>
                </c:pt>
                <c:pt idx="8">
                  <c:v>5</c:v>
                </c:pt>
                <c:pt idx="9">
                  <c:v>5.25</c:v>
                </c:pt>
                <c:pt idx="10">
                  <c:v>5.5</c:v>
                </c:pt>
                <c:pt idx="11">
                  <c:v>5.75</c:v>
                </c:pt>
                <c:pt idx="12">
                  <c:v>6</c:v>
                </c:pt>
                <c:pt idx="13">
                  <c:v>6.25</c:v>
                </c:pt>
                <c:pt idx="14">
                  <c:v>6.5</c:v>
                </c:pt>
                <c:pt idx="15">
                  <c:v>6.75</c:v>
                </c:pt>
                <c:pt idx="16">
                  <c:v>7</c:v>
                </c:pt>
              </c:numCache>
            </c:numRef>
          </c:cat>
          <c:val>
            <c:numRef>
              <c:f>Pricing_Model!$F$23:$F$39</c:f>
              <c:numCache>
                <c:formatCode>\€#,##0</c:formatCode>
                <c:ptCount val="17"/>
                <c:pt idx="0">
                  <c:v>-200000</c:v>
                </c:pt>
                <c:pt idx="1">
                  <c:v>137500.00000000047</c:v>
                </c:pt>
                <c:pt idx="2">
                  <c:v>433333.33333333302</c:v>
                </c:pt>
                <c:pt idx="3">
                  <c:v>687500</c:v>
                </c:pt>
                <c:pt idx="4">
                  <c:v>900000.00000000047</c:v>
                </c:pt>
                <c:pt idx="5">
                  <c:v>1070833.333333333</c:v>
                </c:pt>
                <c:pt idx="6">
                  <c:v>1200000</c:v>
                </c:pt>
                <c:pt idx="7">
                  <c:v>1287499.9999999995</c:v>
                </c:pt>
                <c:pt idx="8">
                  <c:v>1333333.3333333335</c:v>
                </c:pt>
                <c:pt idx="9">
                  <c:v>1337500</c:v>
                </c:pt>
                <c:pt idx="10">
                  <c:v>1300000.0000000002</c:v>
                </c:pt>
                <c:pt idx="11">
                  <c:v>1220833.333333333</c:v>
                </c:pt>
                <c:pt idx="12">
                  <c:v>1100000</c:v>
                </c:pt>
                <c:pt idx="13">
                  <c:v>937500</c:v>
                </c:pt>
                <c:pt idx="14">
                  <c:v>733333.33333333349</c:v>
                </c:pt>
                <c:pt idx="15">
                  <c:v>487500</c:v>
                </c:pt>
                <c:pt idx="16">
                  <c:v>200000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90-40DE-964A-F73638A3F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310959"/>
        <c:axId val="82700497"/>
      </c:lineChart>
      <c:catAx>
        <c:axId val="933109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Price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700497"/>
        <c:crosses val="autoZero"/>
        <c:auto val="1"/>
        <c:lblAlgn val="ctr"/>
        <c:lblOffset val="100"/>
        <c:noMultiLvlLbl val="0"/>
      </c:catAx>
      <c:valAx>
        <c:axId val="827004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109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2023 by Company (€M)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CI_Tracker!$G$19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CI_Tracker!$A$20:$A$29</c:f>
              <c:strCache>
                <c:ptCount val="10"/>
                <c:pt idx="0">
                  <c:v>Nestle</c:v>
                </c:pt>
                <c:pt idx="1">
                  <c:v>Unilever</c:v>
                </c:pt>
                <c:pt idx="2">
                  <c:v>Danone</c:v>
                </c:pt>
                <c:pt idx="3">
                  <c:v>AB InBev</c:v>
                </c:pt>
                <c:pt idx="4">
                  <c:v>Heineken</c:v>
                </c:pt>
                <c:pt idx="5">
                  <c:v>Carlsberg</c:v>
                </c:pt>
                <c:pt idx="6">
                  <c:v>L'Oreal</c:v>
                </c:pt>
                <c:pt idx="7">
                  <c:v>Pernod Ricard</c:v>
                </c:pt>
                <c:pt idx="8">
                  <c:v>Reckitt</c:v>
                </c:pt>
                <c:pt idx="9">
                  <c:v>P&amp;G</c:v>
                </c:pt>
              </c:strCache>
            </c:strRef>
          </c:cat>
          <c:val>
            <c:numRef>
              <c:f>CI_Tracker!$G$20:$G$29</c:f>
              <c:numCache>
                <c:formatCode>#,##0</c:formatCode>
                <c:ptCount val="10"/>
                <c:pt idx="0">
                  <c:v>18700</c:v>
                </c:pt>
                <c:pt idx="1">
                  <c:v>12300</c:v>
                </c:pt>
                <c:pt idx="2">
                  <c:v>27600</c:v>
                </c:pt>
                <c:pt idx="3">
                  <c:v>12100</c:v>
                </c:pt>
                <c:pt idx="4">
                  <c:v>14500</c:v>
                </c:pt>
                <c:pt idx="5">
                  <c:v>5000</c:v>
                </c:pt>
                <c:pt idx="6">
                  <c:v>14400</c:v>
                </c:pt>
                <c:pt idx="7">
                  <c:v>3200</c:v>
                </c:pt>
                <c:pt idx="8">
                  <c:v>5800</c:v>
                </c:pt>
                <c:pt idx="9">
                  <c:v>20100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0-452B-A41C-403B8CC57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21556"/>
        <c:axId val="22570060"/>
      </c:barChart>
      <c:catAx>
        <c:axId val="18721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570060"/>
        <c:crosses val="autoZero"/>
        <c:auto val="1"/>
        <c:lblAlgn val="ctr"/>
        <c:lblOffset val="100"/>
        <c:noMultiLvlLbl val="0"/>
      </c:catAx>
      <c:valAx>
        <c:axId val="225700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€M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215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4</xdr:col>
      <xdr:colOff>276840</xdr:colOff>
      <xdr:row>44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C2358-DBD2-4C48-AAAC-53E4A2647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4</xdr:col>
      <xdr:colOff>714600</xdr:colOff>
      <xdr:row>80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0B90-1577-47ED-BC03-1719D8607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100800</xdr:rowOff>
    </xdr:from>
    <xdr:to>
      <xdr:col>7</xdr:col>
      <xdr:colOff>307080</xdr:colOff>
      <xdr:row>69</xdr:row>
      <xdr:rowOff>179940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E3DD2-AB4F-4CD8-873B-AB7BC9F58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s.xlsx" TargetMode="External"/><Relationship Id="rId2" Type="http://schemas.openxmlformats.org/officeDocument/2006/relationships/externalLinkPath" Target="file:///C:\Users\chand\Downloads\ss.xlsx" TargetMode="External"/><Relationship Id="rId1" Type="http://schemas.openxmlformats.org/officeDocument/2006/relationships/externalLinkPath" Target="/Users/chand/Downloads/s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MCG_Analysis.xlsx" TargetMode="External"/><Relationship Id="rId2" Type="http://schemas.openxmlformats.org/officeDocument/2006/relationships/externalLinkPath" Target="file:///C:\Users\chand\Downloads\FMCG_Analysis.xlsx" TargetMode="External"/><Relationship Id="rId1" Type="http://schemas.openxmlformats.org/officeDocument/2006/relationships/externalLinkPath" Target="/Users/chand/Downloads/FMCG_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MCG_Analysis_1.xlsx" TargetMode="External"/><Relationship Id="rId2" Type="http://schemas.openxmlformats.org/officeDocument/2006/relationships/externalLinkPath" Target="file:///C:\Users\chand\Downloads\FMCG_Analysis_1.xlsx" TargetMode="External"/><Relationship Id="rId1" Type="http://schemas.openxmlformats.org/officeDocument/2006/relationships/externalLinkPath" Target="/Users/chand/Downloads/FMCG_Analysis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mption"/>
      <sheetName val="CPI"/>
      <sheetName val="Retail Trade"/>
      <sheetName val="Sheet1"/>
      <sheetName val="Assumptions"/>
      <sheetName val="Calculation"/>
      <sheetName val="Output"/>
    </sheetNames>
    <sheetDataSet>
      <sheetData sheetId="0"/>
      <sheetData sheetId="1">
        <row r="2">
          <cell r="B2" t="str">
            <v>BE</v>
          </cell>
          <cell r="C2">
            <v>2015</v>
          </cell>
          <cell r="D2">
            <v>12.9</v>
          </cell>
        </row>
        <row r="3">
          <cell r="B3" t="str">
            <v>BE</v>
          </cell>
          <cell r="C3">
            <v>2016</v>
          </cell>
          <cell r="D3">
            <v>13</v>
          </cell>
        </row>
        <row r="4">
          <cell r="B4" t="str">
            <v>BE</v>
          </cell>
          <cell r="C4">
            <v>2017</v>
          </cell>
          <cell r="D4">
            <v>12.8</v>
          </cell>
        </row>
        <row r="5">
          <cell r="B5" t="str">
            <v>BE</v>
          </cell>
          <cell r="C5">
            <v>2018</v>
          </cell>
          <cell r="D5">
            <v>12.7</v>
          </cell>
        </row>
        <row r="6">
          <cell r="B6" t="str">
            <v>BE</v>
          </cell>
          <cell r="C6">
            <v>2019</v>
          </cell>
          <cell r="D6">
            <v>12.7</v>
          </cell>
        </row>
        <row r="7">
          <cell r="B7" t="str">
            <v>BE</v>
          </cell>
          <cell r="C7">
            <v>2020</v>
          </cell>
          <cell r="D7">
            <v>14.2</v>
          </cell>
        </row>
        <row r="8">
          <cell r="B8" t="str">
            <v>BE</v>
          </cell>
          <cell r="C8">
            <v>2021</v>
          </cell>
          <cell r="D8">
            <v>13.3</v>
          </cell>
        </row>
        <row r="9">
          <cell r="B9" t="str">
            <v>BE</v>
          </cell>
          <cell r="C9">
            <v>2022</v>
          </cell>
          <cell r="D9">
            <v>12.2</v>
          </cell>
        </row>
        <row r="10">
          <cell r="B10" t="str">
            <v>DE</v>
          </cell>
          <cell r="C10">
            <v>2015</v>
          </cell>
          <cell r="D10">
            <v>10.6</v>
          </cell>
        </row>
        <row r="11">
          <cell r="B11" t="str">
            <v>DE</v>
          </cell>
          <cell r="C11">
            <v>2016</v>
          </cell>
          <cell r="D11">
            <v>10.6</v>
          </cell>
        </row>
        <row r="12">
          <cell r="B12" t="str">
            <v>DE</v>
          </cell>
          <cell r="C12">
            <v>2017</v>
          </cell>
          <cell r="D12">
            <v>10.6</v>
          </cell>
        </row>
        <row r="13">
          <cell r="B13" t="str">
            <v>DE</v>
          </cell>
          <cell r="C13">
            <v>2018</v>
          </cell>
          <cell r="D13">
            <v>10.7</v>
          </cell>
        </row>
        <row r="14">
          <cell r="B14" t="str">
            <v>DE</v>
          </cell>
          <cell r="C14">
            <v>2019</v>
          </cell>
          <cell r="D14">
            <v>10.8</v>
          </cell>
        </row>
        <row r="15">
          <cell r="B15" t="str">
            <v>DE</v>
          </cell>
          <cell r="C15">
            <v>2020</v>
          </cell>
          <cell r="D15">
            <v>11.9</v>
          </cell>
        </row>
        <row r="16">
          <cell r="B16" t="str">
            <v>DE</v>
          </cell>
          <cell r="C16">
            <v>2021</v>
          </cell>
          <cell r="D16">
            <v>11.7</v>
          </cell>
        </row>
        <row r="17">
          <cell r="B17" t="str">
            <v>DE</v>
          </cell>
          <cell r="C17">
            <v>2022</v>
          </cell>
          <cell r="D17">
            <v>11.5</v>
          </cell>
        </row>
        <row r="18">
          <cell r="B18" t="str">
            <v>DK</v>
          </cell>
          <cell r="C18">
            <v>2015</v>
          </cell>
          <cell r="D18">
            <v>11.4</v>
          </cell>
        </row>
        <row r="19">
          <cell r="B19" t="str">
            <v>DK</v>
          </cell>
          <cell r="C19">
            <v>2016</v>
          </cell>
          <cell r="D19">
            <v>11.5</v>
          </cell>
        </row>
        <row r="20">
          <cell r="B20" t="str">
            <v>DK</v>
          </cell>
          <cell r="C20">
            <v>2017</v>
          </cell>
          <cell r="D20">
            <v>11.6</v>
          </cell>
        </row>
        <row r="21">
          <cell r="B21" t="str">
            <v>DK</v>
          </cell>
          <cell r="C21">
            <v>2018</v>
          </cell>
          <cell r="D21">
            <v>11.4</v>
          </cell>
        </row>
        <row r="22">
          <cell r="B22" t="str">
            <v>DK</v>
          </cell>
          <cell r="C22">
            <v>2019</v>
          </cell>
          <cell r="D22">
            <v>11.3</v>
          </cell>
        </row>
        <row r="23">
          <cell r="B23" t="str">
            <v>DK</v>
          </cell>
          <cell r="C23">
            <v>2020</v>
          </cell>
          <cell r="D23">
            <v>12.2</v>
          </cell>
        </row>
        <row r="24">
          <cell r="B24" t="str">
            <v>DK</v>
          </cell>
          <cell r="C24">
            <v>2021</v>
          </cell>
          <cell r="D24">
            <v>12.1</v>
          </cell>
        </row>
        <row r="25">
          <cell r="B25" t="str">
            <v>DK</v>
          </cell>
          <cell r="C25">
            <v>2022</v>
          </cell>
          <cell r="D25">
            <v>11.8</v>
          </cell>
        </row>
        <row r="26">
          <cell r="B26" t="str">
            <v>FR</v>
          </cell>
          <cell r="C26">
            <v>2015</v>
          </cell>
          <cell r="D26">
            <v>13.4</v>
          </cell>
        </row>
        <row r="27">
          <cell r="B27" t="str">
            <v>FR</v>
          </cell>
          <cell r="C27">
            <v>2016</v>
          </cell>
          <cell r="D27">
            <v>13.4</v>
          </cell>
        </row>
        <row r="28">
          <cell r="B28" t="str">
            <v>FR</v>
          </cell>
          <cell r="C28">
            <v>2017</v>
          </cell>
          <cell r="D28">
            <v>13.3</v>
          </cell>
        </row>
        <row r="29">
          <cell r="B29" t="str">
            <v>FR</v>
          </cell>
          <cell r="C29">
            <v>2018</v>
          </cell>
          <cell r="D29">
            <v>13.1</v>
          </cell>
        </row>
        <row r="30">
          <cell r="B30" t="str">
            <v>FR</v>
          </cell>
          <cell r="C30">
            <v>2019</v>
          </cell>
          <cell r="D30">
            <v>13.1</v>
          </cell>
        </row>
        <row r="31">
          <cell r="B31" t="str">
            <v>FR</v>
          </cell>
          <cell r="C31">
            <v>2020</v>
          </cell>
          <cell r="D31">
            <v>14.9</v>
          </cell>
        </row>
        <row r="32">
          <cell r="B32" t="str">
            <v>FR</v>
          </cell>
          <cell r="C32">
            <v>2021</v>
          </cell>
          <cell r="D32">
            <v>13.9</v>
          </cell>
        </row>
        <row r="33">
          <cell r="B33" t="str">
            <v>FR</v>
          </cell>
          <cell r="C33">
            <v>2022</v>
          </cell>
          <cell r="D33">
            <v>13.3</v>
          </cell>
        </row>
        <row r="34">
          <cell r="B34" t="str">
            <v>NL</v>
          </cell>
          <cell r="C34">
            <v>2015</v>
          </cell>
          <cell r="D34">
            <v>11.5</v>
          </cell>
        </row>
        <row r="35">
          <cell r="B35" t="str">
            <v>NL</v>
          </cell>
          <cell r="C35">
            <v>2016</v>
          </cell>
          <cell r="D35">
            <v>11.5</v>
          </cell>
        </row>
        <row r="36">
          <cell r="B36" t="str">
            <v>NL</v>
          </cell>
          <cell r="C36">
            <v>2017</v>
          </cell>
          <cell r="D36">
            <v>11.5</v>
          </cell>
        </row>
        <row r="37">
          <cell r="B37" t="str">
            <v>NL</v>
          </cell>
          <cell r="C37">
            <v>2018</v>
          </cell>
          <cell r="D37">
            <v>11.3</v>
          </cell>
        </row>
        <row r="38">
          <cell r="B38" t="str">
            <v>NL</v>
          </cell>
          <cell r="C38">
            <v>2019</v>
          </cell>
          <cell r="D38">
            <v>11.4</v>
          </cell>
        </row>
        <row r="39">
          <cell r="B39" t="str">
            <v>NL</v>
          </cell>
          <cell r="C39">
            <v>2020</v>
          </cell>
          <cell r="D39">
            <v>13.2</v>
          </cell>
        </row>
        <row r="40">
          <cell r="B40" t="str">
            <v>NL</v>
          </cell>
          <cell r="C40">
            <v>2021</v>
          </cell>
          <cell r="D40">
            <v>12.7</v>
          </cell>
        </row>
        <row r="41">
          <cell r="B41" t="str">
            <v>NL</v>
          </cell>
          <cell r="C41">
            <v>2022</v>
          </cell>
          <cell r="D41">
            <v>11.7</v>
          </cell>
        </row>
        <row r="42">
          <cell r="B42" t="str">
            <v>SE</v>
          </cell>
          <cell r="C42">
            <v>2015</v>
          </cell>
          <cell r="D42">
            <v>12.3</v>
          </cell>
        </row>
        <row r="43">
          <cell r="B43" t="str">
            <v>SE</v>
          </cell>
          <cell r="C43">
            <v>2016</v>
          </cell>
          <cell r="D43">
            <v>12.5</v>
          </cell>
        </row>
        <row r="44">
          <cell r="B44" t="str">
            <v>SE</v>
          </cell>
          <cell r="C44">
            <v>2017</v>
          </cell>
          <cell r="D44">
            <v>12.4</v>
          </cell>
        </row>
        <row r="45">
          <cell r="B45" t="str">
            <v>SE</v>
          </cell>
          <cell r="C45">
            <v>2018</v>
          </cell>
          <cell r="D45">
            <v>12.5</v>
          </cell>
        </row>
        <row r="46">
          <cell r="B46" t="str">
            <v>SE</v>
          </cell>
          <cell r="C46">
            <v>2019</v>
          </cell>
          <cell r="D46">
            <v>12.4</v>
          </cell>
        </row>
        <row r="47">
          <cell r="B47" t="str">
            <v>SE</v>
          </cell>
          <cell r="C47">
            <v>2020</v>
          </cell>
          <cell r="D47">
            <v>13.3</v>
          </cell>
        </row>
        <row r="48">
          <cell r="B48" t="str">
            <v>SE</v>
          </cell>
          <cell r="C48">
            <v>2021</v>
          </cell>
          <cell r="D48">
            <v>12.9</v>
          </cell>
        </row>
        <row r="49">
          <cell r="B49" t="str">
            <v>SE</v>
          </cell>
          <cell r="C49">
            <v>2022</v>
          </cell>
          <cell r="D49">
            <v>12.8</v>
          </cell>
        </row>
      </sheetData>
      <sheetData sheetId="2"/>
      <sheetData sheetId="3" refreshError="1"/>
      <sheetData sheetId="4">
        <row r="6">
          <cell r="A6" t="str">
            <v>France</v>
          </cell>
          <cell r="B6" t="str">
            <v>FR</v>
          </cell>
          <cell r="C6">
            <v>182900</v>
          </cell>
          <cell r="D6">
            <v>0.13300000000000001</v>
          </cell>
          <cell r="E6" t="str">
            <v>YES</v>
          </cell>
        </row>
        <row r="7">
          <cell r="A7" t="str">
            <v>Netherlands</v>
          </cell>
          <cell r="B7" t="str">
            <v>NL</v>
          </cell>
          <cell r="C7">
            <v>47169</v>
          </cell>
          <cell r="D7">
            <v>0.11699999999999999</v>
          </cell>
          <cell r="E7" t="str">
            <v>YES</v>
          </cell>
        </row>
        <row r="8">
          <cell r="A8" t="str">
            <v>Germany</v>
          </cell>
          <cell r="B8" t="str">
            <v>DE</v>
          </cell>
          <cell r="C8">
            <v>216357</v>
          </cell>
          <cell r="D8">
            <v>0.115</v>
          </cell>
          <cell r="E8" t="str">
            <v>NO</v>
          </cell>
        </row>
        <row r="9">
          <cell r="A9" t="str">
            <v>Belgium</v>
          </cell>
          <cell r="B9" t="str">
            <v>BE</v>
          </cell>
          <cell r="C9">
            <v>32568</v>
          </cell>
          <cell r="D9">
            <v>0.122</v>
          </cell>
          <cell r="E9" t="str">
            <v>NO</v>
          </cell>
        </row>
        <row r="10">
          <cell r="A10" t="str">
            <v>Sweden</v>
          </cell>
          <cell r="B10" t="str">
            <v>SE</v>
          </cell>
          <cell r="C10">
            <v>30400</v>
          </cell>
          <cell r="D10">
            <v>0.128</v>
          </cell>
          <cell r="E10" t="str">
            <v>NO</v>
          </cell>
        </row>
        <row r="11">
          <cell r="A11" t="str">
            <v>Denmark</v>
          </cell>
          <cell r="B11" t="str">
            <v>DK</v>
          </cell>
          <cell r="C11">
            <v>19252</v>
          </cell>
          <cell r="D11">
            <v>0.11800000000000001</v>
          </cell>
          <cell r="E11" t="str">
            <v>NO</v>
          </cell>
        </row>
        <row r="16">
          <cell r="B16">
            <v>0.03</v>
          </cell>
        </row>
        <row r="17">
          <cell r="B17">
            <v>0.05</v>
          </cell>
        </row>
      </sheetData>
      <sheetData sheetId="5">
        <row r="5">
          <cell r="E5">
            <v>182900</v>
          </cell>
        </row>
        <row r="6">
          <cell r="E6">
            <v>47169</v>
          </cell>
        </row>
        <row r="7">
          <cell r="E7">
            <v>216357</v>
          </cell>
        </row>
        <row r="8">
          <cell r="E8">
            <v>32568</v>
          </cell>
        </row>
        <row r="9">
          <cell r="E9">
            <v>30400</v>
          </cell>
        </row>
        <row r="10">
          <cell r="E10">
            <v>19252</v>
          </cell>
        </row>
        <row r="11">
          <cell r="E11">
            <v>528646</v>
          </cell>
        </row>
        <row r="16">
          <cell r="E16">
            <v>230069</v>
          </cell>
        </row>
        <row r="19">
          <cell r="E19">
            <v>6902.07</v>
          </cell>
        </row>
        <row r="20">
          <cell r="E20">
            <v>11503.45</v>
          </cell>
        </row>
      </sheetData>
      <sheetData sheetId="6">
        <row r="8">
          <cell r="B8" t="str">
            <v>Food Market (€M)</v>
          </cell>
        </row>
        <row r="9">
          <cell r="A9" t="str">
            <v>France</v>
          </cell>
          <cell r="B9">
            <v>182900</v>
          </cell>
        </row>
        <row r="10">
          <cell r="A10" t="str">
            <v>Netherlands</v>
          </cell>
          <cell r="B10">
            <v>47169</v>
          </cell>
        </row>
        <row r="11">
          <cell r="A11" t="str">
            <v>Germany</v>
          </cell>
          <cell r="B11">
            <v>216357</v>
          </cell>
        </row>
        <row r="12">
          <cell r="A12" t="str">
            <v>Belgium</v>
          </cell>
          <cell r="B12">
            <v>32568</v>
          </cell>
        </row>
        <row r="13">
          <cell r="A13" t="str">
            <v>Sweden</v>
          </cell>
          <cell r="B13">
            <v>30400</v>
          </cell>
        </row>
        <row r="14">
          <cell r="A14" t="str">
            <v>Denmark</v>
          </cell>
          <cell r="B14">
            <v>19252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mption"/>
      <sheetName val="CPI"/>
      <sheetName val="Retail Trade"/>
      <sheetName val="Sheet1"/>
      <sheetName val="Assumptions"/>
      <sheetName val="Calculation"/>
      <sheetName val="Output"/>
      <sheetName val="Pricing_Mode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>
        <row r="22">
          <cell r="C22" t="str">
            <v>Revenue (€)</v>
          </cell>
          <cell r="F22" t="str">
            <v>Net Margin (€)</v>
          </cell>
        </row>
        <row r="23">
          <cell r="A23">
            <v>3</v>
          </cell>
          <cell r="C23">
            <v>4500000</v>
          </cell>
          <cell r="F23">
            <v>-200000</v>
          </cell>
        </row>
        <row r="24">
          <cell r="A24">
            <v>3.25</v>
          </cell>
          <cell r="C24">
            <v>4604166.666666667</v>
          </cell>
          <cell r="F24">
            <v>137500.00000000047</v>
          </cell>
        </row>
        <row r="25">
          <cell r="A25">
            <v>3.5</v>
          </cell>
          <cell r="C25">
            <v>4666666.666666666</v>
          </cell>
          <cell r="F25">
            <v>433333.33333333302</v>
          </cell>
        </row>
        <row r="26">
          <cell r="A26">
            <v>3.75</v>
          </cell>
          <cell r="C26">
            <v>4687500</v>
          </cell>
          <cell r="F26">
            <v>687500</v>
          </cell>
        </row>
        <row r="27">
          <cell r="A27">
            <v>4</v>
          </cell>
          <cell r="C27">
            <v>4666666.666666667</v>
          </cell>
          <cell r="F27">
            <v>900000.00000000047</v>
          </cell>
        </row>
        <row r="28">
          <cell r="A28">
            <v>4.25</v>
          </cell>
          <cell r="C28">
            <v>4604166.666666666</v>
          </cell>
          <cell r="F28">
            <v>1070833.333333333</v>
          </cell>
        </row>
        <row r="29">
          <cell r="A29">
            <v>4.5</v>
          </cell>
          <cell r="C29">
            <v>4500000</v>
          </cell>
          <cell r="F29">
            <v>1200000</v>
          </cell>
        </row>
        <row r="30">
          <cell r="A30">
            <v>4.75</v>
          </cell>
          <cell r="C30">
            <v>4354166.666666666</v>
          </cell>
          <cell r="F30">
            <v>1287499.9999999995</v>
          </cell>
        </row>
        <row r="31">
          <cell r="A31">
            <v>5</v>
          </cell>
          <cell r="C31">
            <v>4166666.666666667</v>
          </cell>
          <cell r="F31">
            <v>1333333.3333333335</v>
          </cell>
        </row>
        <row r="32">
          <cell r="A32">
            <v>5.25</v>
          </cell>
          <cell r="C32">
            <v>3937500</v>
          </cell>
          <cell r="F32">
            <v>1337500</v>
          </cell>
        </row>
        <row r="33">
          <cell r="A33">
            <v>5.5</v>
          </cell>
          <cell r="C33">
            <v>3666666.666666667</v>
          </cell>
          <cell r="F33">
            <v>1300000.0000000002</v>
          </cell>
        </row>
        <row r="34">
          <cell r="A34">
            <v>5.75</v>
          </cell>
          <cell r="C34">
            <v>3354166.666666666</v>
          </cell>
          <cell r="F34">
            <v>1220833.333333333</v>
          </cell>
        </row>
        <row r="35">
          <cell r="A35">
            <v>6</v>
          </cell>
          <cell r="C35">
            <v>3000000</v>
          </cell>
          <cell r="F35">
            <v>1100000</v>
          </cell>
        </row>
        <row r="36">
          <cell r="A36">
            <v>6.25</v>
          </cell>
          <cell r="C36">
            <v>2604166.6666666665</v>
          </cell>
          <cell r="F36">
            <v>937500</v>
          </cell>
        </row>
        <row r="37">
          <cell r="A37">
            <v>6.5</v>
          </cell>
          <cell r="C37">
            <v>2166666.666666667</v>
          </cell>
          <cell r="F37">
            <v>733333.33333333349</v>
          </cell>
        </row>
        <row r="38">
          <cell r="A38">
            <v>6.75</v>
          </cell>
          <cell r="C38">
            <v>1687500</v>
          </cell>
          <cell r="F38">
            <v>487500</v>
          </cell>
        </row>
        <row r="39">
          <cell r="A39">
            <v>7</v>
          </cell>
          <cell r="C39">
            <v>1166666.6666666665</v>
          </cell>
          <cell r="F39">
            <v>200000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umption"/>
      <sheetName val="CPI"/>
      <sheetName val="Retail Trade"/>
      <sheetName val="Sheet1"/>
      <sheetName val="Assumptions"/>
      <sheetName val="Calculation"/>
      <sheetName val="Output"/>
      <sheetName val="Pricing_Model"/>
      <sheetName val="CI_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9">
          <cell r="G19" t="str">
            <v>2023</v>
          </cell>
        </row>
        <row r="20">
          <cell r="A20" t="str">
            <v>Nestle</v>
          </cell>
          <cell r="G20">
            <v>18700</v>
          </cell>
        </row>
        <row r="21">
          <cell r="A21" t="str">
            <v>Unilever</v>
          </cell>
          <cell r="G21">
            <v>12300</v>
          </cell>
        </row>
        <row r="22">
          <cell r="A22" t="str">
            <v>Danone</v>
          </cell>
          <cell r="G22">
            <v>27600</v>
          </cell>
        </row>
        <row r="23">
          <cell r="A23" t="str">
            <v>AB InBev</v>
          </cell>
          <cell r="G23">
            <v>12100</v>
          </cell>
        </row>
        <row r="24">
          <cell r="A24" t="str">
            <v>Heineken</v>
          </cell>
          <cell r="G24">
            <v>14500</v>
          </cell>
        </row>
        <row r="25">
          <cell r="A25" t="str">
            <v>Carlsberg</v>
          </cell>
          <cell r="G25">
            <v>5000</v>
          </cell>
        </row>
        <row r="26">
          <cell r="A26" t="str">
            <v>L'Oreal</v>
          </cell>
          <cell r="G26">
            <v>14400</v>
          </cell>
        </row>
        <row r="27">
          <cell r="A27" t="str">
            <v>Pernod Ricard</v>
          </cell>
          <cell r="G27">
            <v>3200</v>
          </cell>
        </row>
        <row r="28">
          <cell r="A28" t="str">
            <v>Reckitt</v>
          </cell>
          <cell r="G28">
            <v>5800</v>
          </cell>
        </row>
        <row r="29">
          <cell r="A29" t="str">
            <v>P&amp;G</v>
          </cell>
          <cell r="G29">
            <v>20100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ndru R" refreshedDate="46173.857042361109" backgroundQuery="1" createdVersion="8" refreshedVersion="8" minRefreshableVersion="3" recordCount="0" supportSubquery="1" supportAdvancedDrill="1" xr:uid="{D9512116-8E4A-4746-915F-D4A65580F05A}">
  <cacheSource type="external" connectionId="4"/>
  <cacheFields count="5">
    <cacheField name="[Retail_Trade].[Country].[Country]" caption="Country" numFmtId="0" hierarchy="13" level="1">
      <sharedItems count="6">
        <s v="BE"/>
        <s v="DE"/>
        <s v="DK"/>
        <s v="FR"/>
        <s v="NL"/>
        <s v="SE"/>
      </sharedItems>
    </cacheField>
    <cacheField name="[Retail_Trade].[Year].[Year]" caption="Year" numFmtId="0" hierarchy="14" level="1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Retail_Trade].[Year].&amp;[2016]"/>
            <x15:cachedUniqueName index="1" name="[Retail_Trade].[Year].&amp;[2017]"/>
            <x15:cachedUniqueName index="2" name="[Retail_Trade].[Year].&amp;[2018]"/>
            <x15:cachedUniqueName index="3" name="[Retail_Trade].[Year].&amp;[2019]"/>
            <x15:cachedUniqueName index="4" name="[Retail_Trade].[Year].&amp;[2020]"/>
            <x15:cachedUniqueName index="5" name="[Retail_Trade].[Year].&amp;[2021]"/>
            <x15:cachedUniqueName index="6" name="[Retail_Trade].[Year].&amp;[2022]"/>
            <x15:cachedUniqueName index="7" name="[Retail_Trade].[Year].&amp;[2023]"/>
          </x15:cachedUniqueNames>
        </ext>
      </extLst>
    </cacheField>
    <cacheField name="[Measures].[Food Retail Value]" caption="Food Retail Value" numFmtId="0" hierarchy="17" level="32767"/>
    <cacheField name="[Measures].[Food Retail Volume]" caption="Food Retail Volume" numFmtId="0" hierarchy="18" level="32767"/>
    <cacheField name="[Measures].[YoY Growth]" caption="YoY Growth" numFmtId="0" hierarchy="20" level="32767"/>
  </cacheFields>
  <cacheHierarchies count="25">
    <cacheHierarchy uniqueName="[Consumption].[Indicator]" caption="Indicator" attribute="1" defaultMemberUniqueName="[Consumption].[Indicator].[All]" allUniqueName="[Consumption].[Indicator].[All]" dimensionUniqueName="[Consumption]" displayFolder="" count="0" memberValueDatatype="130" unbalanced="0"/>
    <cacheHierarchy uniqueName="[Consumption].[Sector]" caption="Sector" attribute="1" defaultMemberUniqueName="[Consumption].[Sector].[All]" allUniqueName="[Consumption].[Sector].[All]" dimensionUniqueName="[Consumption]" displayFolder="" count="0" memberValueDatatype="130" unbalanced="0"/>
    <cacheHierarchy uniqueName="[Consumption].[Country]" caption="Country" attribute="1" defaultMemberUniqueName="[Consumption].[Country].[All]" allUniqueName="[Consumption].[Country].[All]" dimensionUniqueName="[Consumption]" displayFolder="" count="0" memberValueDatatype="130" unbalanced="0"/>
    <cacheHierarchy uniqueName="[Consumption].[Year]" caption="Year" attribute="1" defaultMemberUniqueName="[Consumption].[Year].[All]" allUniqueName="[Consumption].[Year].[All]" dimensionUniqueName="[Consumption]" displayFolder="" count="0" memberValueDatatype="20" unbalanced="0"/>
    <cacheHierarchy uniqueName="[Consumption].[Value]" caption="Value" attribute="1" defaultMemberUniqueName="[Consumption].[Value].[All]" allUniqueName="[Consumption].[Value].[All]" dimensionUniqueName="[Consumption]" displayFolder="" count="0" memberValueDatatype="5" unbalanced="0"/>
    <cacheHierarchy uniqueName="[Consumption].[Country_Year]" caption="Country_Year" attribute="1" defaultMemberUniqueName="[Consumption].[Country_Year].[All]" allUniqueName="[Consumption].[Country_Year].[All]" dimensionUniqueName="[Consumption]" displayFolder="" count="0" memberValueDatatype="130" unbalanced="0"/>
    <cacheHierarchy uniqueName="[CPI].[Category]" caption="Category" attribute="1" defaultMemberUniqueName="[CPI].[Category].[All]" allUniqueName="[CPI].[Category].[All]" dimensionUniqueName="[CPI]" displayFolder="" count="0" memberValueDatatype="130" unbalanced="0"/>
    <cacheHierarchy uniqueName="[CPI].[Country]" caption="Country" attribute="1" defaultMemberUniqueName="[CPI].[Country].[All]" allUniqueName="[CPI].[Country].[All]" dimensionUniqueName="[CPI]" displayFolder="" count="0" memberValueDatatype="130" unbalanced="0"/>
    <cacheHierarchy uniqueName="[CPI].[Year]" caption="Year" attribute="1" defaultMemberUniqueName="[CPI].[Year].[All]" allUniqueName="[CPI].[Year].[All]" dimensionUniqueName="[CPI]" displayFolder="" count="0" memberValueDatatype="20" unbalanced="0"/>
    <cacheHierarchy uniqueName="[CPI].[CPI Value]" caption="CPI Value" attribute="1" defaultMemberUniqueName="[CPI].[CPI Value].[All]" allUniqueName="[CPI].[CPI Value].[All]" dimensionUniqueName="[CPI]" displayFolder="" count="0" memberValueDatatype="5" unbalanced="0"/>
    <cacheHierarchy uniqueName="[CPI].[Country_Year]" caption="Country_Year" attribute="1" defaultMemberUniqueName="[CPI].[Country_Year].[All]" allUniqueName="[CPI].[Country_Year].[All]" dimensionUniqueName="[CPI]" displayFolder="" count="0" memberValueDatatype="130" unbalanced="0"/>
    <cacheHierarchy uniqueName="[Retail_Trade].[Indicator]" caption="Indicator" attribute="1" defaultMemberUniqueName="[Retail_Trade].[Indicator].[All]" allUniqueName="[Retail_Trade].[Indicator].[All]" dimensionUniqueName="[Retail_Trade]" displayFolder="" count="0" memberValueDatatype="130" unbalanced="0"/>
    <cacheHierarchy uniqueName="[Retail_Trade].[Sector]" caption="Sector" attribute="1" defaultMemberUniqueName="[Retail_Trade].[Sector].[All]" allUniqueName="[Retail_Trade].[Sector].[All]" dimensionUniqueName="[Retail_Trade]" displayFolder="" count="0" memberValueDatatype="130" unbalanced="0"/>
    <cacheHierarchy uniqueName="[Retail_Trade].[Country]" caption="Country" attribute="1" defaultMemberUniqueName="[Retail_Trade].[Country].[All]" allUniqueName="[Retail_Trade].[Country].[All]" dimensionUniqueName="[Retail_Trade]" displayFolder="" count="2" memberValueDatatype="130" unbalanced="0">
      <fieldsUsage count="2">
        <fieldUsage x="-1"/>
        <fieldUsage x="0"/>
      </fieldsUsage>
    </cacheHierarchy>
    <cacheHierarchy uniqueName="[Retail_Trade].[Year]" caption="Year" attribute="1" defaultMemberUniqueName="[Retail_Trade].[Year].[All]" allUniqueName="[Retail_Trade].[Year].[All]" dimensionUniqueName="[Retail_Trade]" displayFolder="" count="2" memberValueDatatype="20" unbalanced="0">
      <fieldsUsage count="2">
        <fieldUsage x="-1"/>
        <fieldUsage x="1"/>
      </fieldsUsage>
    </cacheHierarchy>
    <cacheHierarchy uniqueName="[Retail_Trade].[Value]" caption="Value" attribute="1" defaultMemberUniqueName="[Retail_Trade].[Value].[All]" allUniqueName="[Retail_Trade].[Value].[All]" dimensionUniqueName="[Retail_Trade]" displayFolder="" count="0" memberValueDatatype="5" unbalanced="0"/>
    <cacheHierarchy uniqueName="[Retail_Trade].[Country_Year]" caption="Country_Year" attribute="1" defaultMemberUniqueName="[Retail_Trade].[Country_Year].[All]" allUniqueName="[Retail_Trade].[Country_Year].[All]" dimensionUniqueName="[Retail_Trade]" displayFolder="" count="0" memberValueDatatype="130" unbalanced="0"/>
    <cacheHierarchy uniqueName="[Measures].[Food Retail Value]" caption="Food Retail Value" measure="1" displayFolder="" measureGroup="Retail_Trade" count="0" oneField="1">
      <fieldsUsage count="1">
        <fieldUsage x="2"/>
      </fieldsUsage>
    </cacheHierarchy>
    <cacheHierarchy uniqueName="[Measures].[Food Retail Volume]" caption="Food Retail Volume" measure="1" displayFolder="" measureGroup="Retail_Trade" count="0" oneField="1">
      <fieldsUsage count="1">
        <fieldUsage x="3"/>
      </fieldsUsage>
    </cacheHierarchy>
    <cacheHierarchy uniqueName="[Measures].[Food Inflation]" caption="Food Inflation" measure="1" displayFolder="" measureGroup="Retail_Trade" count="0"/>
    <cacheHierarchy uniqueName="[Measures].[YoY Growth]" caption="YoY Growth" measure="1" displayFolder="" measureGroup="Retail_Trade" count="0" oneField="1">
      <fieldsUsage count="1">
        <fieldUsage x="4"/>
      </fieldsUsage>
    </cacheHierarchy>
    <cacheHierarchy uniqueName="[Measures].[__XL_Count Retail_Trade]" caption="__XL_Count Retail_Trade" measure="1" displayFolder="" measureGroup="Retail_Trade" count="0" hidden="1"/>
    <cacheHierarchy uniqueName="[Measures].[__XL_Count Consumption]" caption="__XL_Count Consumption" measure="1" displayFolder="" measureGroup="Consumption" count="0" hidden="1"/>
    <cacheHierarchy uniqueName="[Measures].[__XL_Count CPI]" caption="__XL_Count CPI" measure="1" displayFolder="" measureGroup="CPI" count="0" hidden="1"/>
    <cacheHierarchy uniqueName="[Measures].[__No measures defined]" caption="__No measures defined" measure="1" displayFolder="" count="0" hidden="1"/>
  </cacheHierarchies>
  <kpis count="0"/>
  <dimensions count="4">
    <dimension name="Consumption" uniqueName="[Consumption]" caption="Consumption"/>
    <dimension name="CPI" uniqueName="[CPI]" caption="CPI"/>
    <dimension measure="1" name="Measures" uniqueName="[Measures]" caption="Measures"/>
    <dimension name="Retail_Trade" uniqueName="[Retail_Trade]" caption="Retail_Trade"/>
  </dimensions>
  <measureGroups count="3">
    <measureGroup name="Consumption" caption="Consumption"/>
    <measureGroup name="CPI" caption="CPI"/>
    <measureGroup name="Retail_Trade" caption="Retail_Trade"/>
  </measureGroups>
  <maps count="5">
    <map measureGroup="0" dimension="0"/>
    <map measureGroup="0" dimension="1"/>
    <map measureGroup="1" dimension="1"/>
    <map measureGroup="2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A8374-C85B-4CF4-A63F-7FE435BBF57E}" name="PivotTable1" cacheId="25" applyNumberFormats="0" applyBorderFormats="0" applyFontFormats="0" applyPatternFormats="0" applyAlignmentFormats="0" applyWidthHeightFormats="1" dataCaption="Values" tag="7aab9a51-49c5-46dd-b409-b4be68a7fd20" updatedVersion="8" minRefreshableVersion="3" useAutoFormatting="1" itemPrintTitles="1" createdVersion="8" indent="0" outline="1" outlineData="1" multipleFieldFilters="0">
  <location ref="A3:AB12" firstHeaderRow="1" firstDataRow="3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27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fld="2" subtotal="count" baseField="0" baseItem="0"/>
    <dataField fld="3" subtotal="count" baseField="0" baseItem="0"/>
    <dataField fld="4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2">
    <colHierarchyUsage hierarchyUsage="14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_Tra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A991C7C-F013-4EC5-A2C6-611BA50566B7}" autoFormatId="16" applyNumberFormats="0" applyBorderFormats="0" applyFontFormats="0" applyPatternFormats="0" applyAlignmentFormats="0" applyWidthHeightFormats="0">
  <queryTableRefresh nextId="12">
    <queryTableFields count="5">
      <queryTableField id="7" name="Indicator" tableColumnId="7"/>
      <queryTableField id="8" name="Sector" tableColumnId="8"/>
      <queryTableField id="9" name="Country" tableColumnId="9"/>
      <queryTableField id="10" name="Year" tableColumnId="10"/>
      <queryTableField id="11" name="Val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1BA9DEC-9FF3-4633-B253-DEC46C648F17}" autoFormatId="16" applyNumberFormats="0" applyBorderFormats="0" applyFontFormats="0" applyPatternFormats="0" applyAlignmentFormats="0" applyWidthHeightFormats="0">
  <queryTableRefresh nextId="9">
    <queryTableFields count="4">
      <queryTableField id="5" name="Category" tableColumnId="5"/>
      <queryTableField id="6" name="Country" tableColumnId="6"/>
      <queryTableField id="7" name="Year" tableColumnId="7"/>
      <queryTableField id="8" name="CPI Valu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AB22EE-D7C7-4592-9C94-503EEEA9C846}" autoFormatId="16" applyNumberFormats="0" applyBorderFormats="0" applyFontFormats="0" applyPatternFormats="0" applyAlignmentFormats="0" applyWidthHeightFormats="0">
  <queryTableRefresh nextId="11">
    <queryTableFields count="5">
      <queryTableField id="6" name="Indicator" tableColumnId="6"/>
      <queryTableField id="7" name="Sector" tableColumnId="7"/>
      <queryTableField id="8" name="Country" tableColumnId="8"/>
      <queryTableField id="9" name="Year" tableColumnId="9"/>
      <queryTableField id="10" name="Val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A8A271-1945-4D92-A520-266A2902FDA1}" name="Consumption" displayName="Consumption" ref="A1:E287" tableType="queryTable" totalsRowShown="0">
  <autoFilter ref="A1:E287" xr:uid="{F6A8A271-1945-4D92-A520-266A2902FDA1}"/>
  <tableColumns count="5">
    <tableColumn id="7" xr3:uid="{BF221B79-4C55-4810-99FC-9E5423EAE786}" uniqueName="7" name="Indicator" queryTableFieldId="7" dataDxfId="7"/>
    <tableColumn id="8" xr3:uid="{A1EB8259-6E17-4B07-A014-7D0B16A4031D}" uniqueName="8" name="Sector" queryTableFieldId="8" dataDxfId="6"/>
    <tableColumn id="9" xr3:uid="{6081BC51-A7EE-4E41-8EDF-77265887788E}" uniqueName="9" name="Country" queryTableFieldId="9" dataDxfId="5"/>
    <tableColumn id="10" xr3:uid="{5FDCB925-7DC1-4DC3-8876-2C222AC59D22}" uniqueName="10" name="Year" queryTableFieldId="10"/>
    <tableColumn id="11" xr3:uid="{B85051C1-F4EB-442B-96DA-2BEDBD0C6D63}" uniqueName="11" name="Valu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C4FA0-9428-48C7-B78F-83BCBC52047D}" name="CPI" displayName="CPI" ref="A1:D49" tableType="queryTable" totalsRowShown="0">
  <autoFilter ref="A1:D49" xr:uid="{72EC4FA0-9428-48C7-B78F-83BCBC52047D}"/>
  <tableColumns count="4">
    <tableColumn id="5" xr3:uid="{5EFD350D-5ABD-4248-9062-EC166029D652}" uniqueName="5" name="Category" queryTableFieldId="5" dataDxfId="4"/>
    <tableColumn id="6" xr3:uid="{CF3EE073-B1AE-44FD-A71D-484D1AA3ED83}" uniqueName="6" name="Country" queryTableFieldId="6" dataDxfId="3"/>
    <tableColumn id="7" xr3:uid="{C2D82A4A-E6E4-4E61-B2E8-0FA7118DCC68}" uniqueName="7" name="Year" queryTableFieldId="7"/>
    <tableColumn id="8" xr3:uid="{A992B2D5-FE9E-49ED-9594-189CB7C8670C}" uniqueName="8" name="CPI Valu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DB054-A5BE-4FF4-A4E8-E6E04E4B480D}" name="Retail_Trade" displayName="Retail_Trade" ref="A1:E287" tableType="queryTable" totalsRowShown="0">
  <autoFilter ref="A1:E287" xr:uid="{92BDB054-A5BE-4FF4-A4E8-E6E04E4B480D}"/>
  <tableColumns count="5">
    <tableColumn id="6" xr3:uid="{5FEA0926-EC13-4B9B-ACDF-0A8D7C6CFD92}" uniqueName="6" name="Indicator" queryTableFieldId="6" dataDxfId="2"/>
    <tableColumn id="7" xr3:uid="{5994580C-597E-41CF-A8EE-6C7BC7E8C521}" uniqueName="7" name="Sector" queryTableFieldId="7" dataDxfId="1"/>
    <tableColumn id="8" xr3:uid="{C0DB2F4D-2D25-4D8B-A301-540CD56E786F}" uniqueName="8" name="Country" queryTableFieldId="8" dataDxfId="0"/>
    <tableColumn id="9" xr3:uid="{5A1A6C5B-30F1-4FD3-92C5-5D0FBA97D6B0}" uniqueName="9" name="Year" queryTableFieldId="9"/>
    <tableColumn id="10" xr3:uid="{EC397768-F1F1-47B1-9B4C-720885AB7141}" uniqueName="10" name="Val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C91042-5C8F-46E1-BE9A-6A1A63E6AD7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5760aea-3093-4afe-94f5-9eb14370b7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D1C-C075-4735-B06E-4757A4D3CE46}">
  <dimension ref="A1:E287"/>
  <sheetViews>
    <sheetView workbookViewId="0"/>
  </sheetViews>
  <sheetFormatPr defaultRowHeight="14.4" x14ac:dyDescent="0.3"/>
  <cols>
    <col min="1" max="1" width="10.77734375" bestFit="1" customWidth="1"/>
    <col min="2" max="3" width="10" bestFit="1" customWidth="1"/>
    <col min="4" max="4" width="6.88671875" bestFit="1" customWidth="1"/>
    <col min="5" max="5" width="8" bestFit="1" customWidth="1"/>
    <col min="6" max="6" width="10" bestFit="1" customWidth="1"/>
    <col min="7" max="7" width="18.77734375" bestFit="1" customWidth="1"/>
    <col min="8" max="8" width="7.6640625" bestFit="1" customWidth="1"/>
    <col min="9" max="9" width="6.33203125" bestFit="1" customWidth="1"/>
    <col min="10" max="10" width="14.88671875" bestFit="1" customWidth="1"/>
    <col min="11" max="11" width="13.332031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 t="s">
        <v>0</v>
      </c>
      <c r="B2" s="1" t="s">
        <v>1</v>
      </c>
      <c r="C2" s="1" t="s">
        <v>2</v>
      </c>
      <c r="D2">
        <v>2016</v>
      </c>
      <c r="E2">
        <v>100.3</v>
      </c>
    </row>
    <row r="3" spans="1:5" x14ac:dyDescent="0.3">
      <c r="A3" s="1" t="s">
        <v>0</v>
      </c>
      <c r="B3" s="1" t="s">
        <v>1</v>
      </c>
      <c r="C3" s="1" t="s">
        <v>2</v>
      </c>
      <c r="D3">
        <v>2017</v>
      </c>
      <c r="E3">
        <v>102.5</v>
      </c>
    </row>
    <row r="4" spans="1:5" x14ac:dyDescent="0.3">
      <c r="A4" s="1" t="s">
        <v>0</v>
      </c>
      <c r="B4" s="1" t="s">
        <v>1</v>
      </c>
      <c r="C4" s="1" t="s">
        <v>2</v>
      </c>
      <c r="D4">
        <v>2018</v>
      </c>
      <c r="E4">
        <v>104.4</v>
      </c>
    </row>
    <row r="5" spans="1:5" x14ac:dyDescent="0.3">
      <c r="A5" s="1" t="s">
        <v>0</v>
      </c>
      <c r="B5" s="1" t="s">
        <v>1</v>
      </c>
      <c r="C5" s="1" t="s">
        <v>2</v>
      </c>
      <c r="D5">
        <v>2019</v>
      </c>
      <c r="E5">
        <v>106.4</v>
      </c>
    </row>
    <row r="6" spans="1:5" x14ac:dyDescent="0.3">
      <c r="A6" s="1" t="s">
        <v>0</v>
      </c>
      <c r="B6" s="1" t="s">
        <v>1</v>
      </c>
      <c r="C6" s="1" t="s">
        <v>2</v>
      </c>
      <c r="D6">
        <v>2020</v>
      </c>
      <c r="E6">
        <v>109.1</v>
      </c>
    </row>
    <row r="7" spans="1:5" x14ac:dyDescent="0.3">
      <c r="A7" s="1" t="s">
        <v>0</v>
      </c>
      <c r="B7" s="1" t="s">
        <v>1</v>
      </c>
      <c r="C7" s="1" t="s">
        <v>2</v>
      </c>
      <c r="D7">
        <v>2021</v>
      </c>
      <c r="E7">
        <v>116.2</v>
      </c>
    </row>
    <row r="8" spans="1:5" x14ac:dyDescent="0.3">
      <c r="A8" s="1" t="s">
        <v>0</v>
      </c>
      <c r="B8" s="1" t="s">
        <v>1</v>
      </c>
      <c r="C8" s="1" t="s">
        <v>2</v>
      </c>
      <c r="D8">
        <v>2022</v>
      </c>
      <c r="E8">
        <v>120.5</v>
      </c>
    </row>
    <row r="9" spans="1:5" x14ac:dyDescent="0.3">
      <c r="A9" s="1" t="s">
        <v>0</v>
      </c>
      <c r="B9" s="1" t="s">
        <v>1</v>
      </c>
      <c r="C9" s="1" t="s">
        <v>2</v>
      </c>
      <c r="D9">
        <v>2023</v>
      </c>
      <c r="E9">
        <v>124.3</v>
      </c>
    </row>
    <row r="10" spans="1:5" x14ac:dyDescent="0.3">
      <c r="A10" s="1" t="s">
        <v>0</v>
      </c>
      <c r="B10" s="1" t="s">
        <v>1</v>
      </c>
      <c r="C10" s="1" t="s">
        <v>3</v>
      </c>
      <c r="D10">
        <v>2016</v>
      </c>
      <c r="E10">
        <v>102.4</v>
      </c>
    </row>
    <row r="11" spans="1:5" x14ac:dyDescent="0.3">
      <c r="A11" s="1" t="s">
        <v>0</v>
      </c>
      <c r="B11" s="1" t="s">
        <v>1</v>
      </c>
      <c r="C11" s="1" t="s">
        <v>3</v>
      </c>
      <c r="D11">
        <v>2017</v>
      </c>
      <c r="E11">
        <v>107.5</v>
      </c>
    </row>
    <row r="12" spans="1:5" x14ac:dyDescent="0.3">
      <c r="A12" s="1" t="s">
        <v>0</v>
      </c>
      <c r="B12" s="1" t="s">
        <v>1</v>
      </c>
      <c r="C12" s="1" t="s">
        <v>3</v>
      </c>
      <c r="D12">
        <v>2018</v>
      </c>
      <c r="E12">
        <v>110.7</v>
      </c>
    </row>
    <row r="13" spans="1:5" x14ac:dyDescent="0.3">
      <c r="A13" s="1" t="s">
        <v>0</v>
      </c>
      <c r="B13" s="1" t="s">
        <v>1</v>
      </c>
      <c r="C13" s="1" t="s">
        <v>3</v>
      </c>
      <c r="D13">
        <v>2019</v>
      </c>
      <c r="E13">
        <v>115</v>
      </c>
    </row>
    <row r="14" spans="1:5" x14ac:dyDescent="0.3">
      <c r="A14" s="1" t="s">
        <v>0</v>
      </c>
      <c r="B14" s="1" t="s">
        <v>1</v>
      </c>
      <c r="C14" s="1" t="s">
        <v>3</v>
      </c>
      <c r="D14">
        <v>2020</v>
      </c>
      <c r="E14">
        <v>121.4</v>
      </c>
    </row>
    <row r="15" spans="1:5" x14ac:dyDescent="0.3">
      <c r="A15" s="1" t="s">
        <v>0</v>
      </c>
      <c r="B15" s="1" t="s">
        <v>1</v>
      </c>
      <c r="C15" s="1" t="s">
        <v>3</v>
      </c>
      <c r="D15">
        <v>2021</v>
      </c>
      <c r="E15">
        <v>124.7</v>
      </c>
    </row>
    <row r="16" spans="1:5" x14ac:dyDescent="0.3">
      <c r="A16" s="1" t="s">
        <v>0</v>
      </c>
      <c r="B16" s="1" t="s">
        <v>1</v>
      </c>
      <c r="C16" s="1" t="s">
        <v>3</v>
      </c>
      <c r="D16">
        <v>2022</v>
      </c>
      <c r="E16">
        <v>134.4</v>
      </c>
    </row>
    <row r="17" spans="1:5" x14ac:dyDescent="0.3">
      <c r="A17" s="1" t="s">
        <v>0</v>
      </c>
      <c r="B17" s="1" t="s">
        <v>1</v>
      </c>
      <c r="C17" s="1" t="s">
        <v>3</v>
      </c>
      <c r="D17">
        <v>2023</v>
      </c>
      <c r="E17">
        <v>137.69999999999999</v>
      </c>
    </row>
    <row r="18" spans="1:5" x14ac:dyDescent="0.3">
      <c r="A18" s="1" t="s">
        <v>0</v>
      </c>
      <c r="B18" s="1" t="s">
        <v>1</v>
      </c>
      <c r="C18" s="1" t="s">
        <v>4</v>
      </c>
      <c r="D18">
        <v>2016</v>
      </c>
      <c r="E18">
        <v>100.5</v>
      </c>
    </row>
    <row r="19" spans="1:5" x14ac:dyDescent="0.3">
      <c r="A19" s="1" t="s">
        <v>0</v>
      </c>
      <c r="B19" s="1" t="s">
        <v>1</v>
      </c>
      <c r="C19" s="1" t="s">
        <v>4</v>
      </c>
      <c r="D19">
        <v>2017</v>
      </c>
      <c r="E19">
        <v>101.5</v>
      </c>
    </row>
    <row r="20" spans="1:5" x14ac:dyDescent="0.3">
      <c r="A20" s="1" t="s">
        <v>0</v>
      </c>
      <c r="B20" s="1" t="s">
        <v>1</v>
      </c>
      <c r="C20" s="1" t="s">
        <v>4</v>
      </c>
      <c r="D20">
        <v>2018</v>
      </c>
      <c r="E20">
        <v>102.6</v>
      </c>
    </row>
    <row r="21" spans="1:5" x14ac:dyDescent="0.3">
      <c r="A21" s="1" t="s">
        <v>0</v>
      </c>
      <c r="B21" s="1" t="s">
        <v>1</v>
      </c>
      <c r="C21" s="1" t="s">
        <v>4</v>
      </c>
      <c r="D21">
        <v>2019</v>
      </c>
      <c r="E21">
        <v>103.6</v>
      </c>
    </row>
    <row r="22" spans="1:5" x14ac:dyDescent="0.3">
      <c r="A22" s="1" t="s">
        <v>0</v>
      </c>
      <c r="B22" s="1" t="s">
        <v>1</v>
      </c>
      <c r="C22" s="1" t="s">
        <v>4</v>
      </c>
      <c r="D22">
        <v>2020</v>
      </c>
      <c r="E22">
        <v>107.4</v>
      </c>
    </row>
    <row r="23" spans="1:5" x14ac:dyDescent="0.3">
      <c r="A23" s="1" t="s">
        <v>0</v>
      </c>
      <c r="B23" s="1" t="s">
        <v>1</v>
      </c>
      <c r="C23" s="1" t="s">
        <v>4</v>
      </c>
      <c r="D23">
        <v>2021</v>
      </c>
      <c r="E23">
        <v>113</v>
      </c>
    </row>
    <row r="24" spans="1:5" x14ac:dyDescent="0.3">
      <c r="A24" s="1" t="s">
        <v>0</v>
      </c>
      <c r="B24" s="1" t="s">
        <v>1</v>
      </c>
      <c r="C24" s="1" t="s">
        <v>4</v>
      </c>
      <c r="D24">
        <v>2022</v>
      </c>
      <c r="E24">
        <v>115.7</v>
      </c>
    </row>
    <row r="25" spans="1:5" x14ac:dyDescent="0.3">
      <c r="A25" s="1" t="s">
        <v>0</v>
      </c>
      <c r="B25" s="1" t="s">
        <v>1</v>
      </c>
      <c r="C25" s="1" t="s">
        <v>4</v>
      </c>
      <c r="D25">
        <v>2023</v>
      </c>
      <c r="E25">
        <v>119.2</v>
      </c>
    </row>
    <row r="26" spans="1:5" x14ac:dyDescent="0.3">
      <c r="A26" s="1" t="s">
        <v>0</v>
      </c>
      <c r="B26" s="1" t="s">
        <v>1</v>
      </c>
      <c r="C26" s="1" t="s">
        <v>5</v>
      </c>
      <c r="D26">
        <v>2016</v>
      </c>
      <c r="E26">
        <v>102</v>
      </c>
    </row>
    <row r="27" spans="1:5" x14ac:dyDescent="0.3">
      <c r="A27" s="1" t="s">
        <v>0</v>
      </c>
      <c r="B27" s="1" t="s">
        <v>1</v>
      </c>
      <c r="C27" s="1" t="s">
        <v>5</v>
      </c>
      <c r="D27">
        <v>2017</v>
      </c>
      <c r="E27">
        <v>106.4</v>
      </c>
    </row>
    <row r="28" spans="1:5" x14ac:dyDescent="0.3">
      <c r="A28" s="1" t="s">
        <v>0</v>
      </c>
      <c r="B28" s="1" t="s">
        <v>1</v>
      </c>
      <c r="C28" s="1" t="s">
        <v>5</v>
      </c>
      <c r="D28">
        <v>2018</v>
      </c>
      <c r="E28">
        <v>110.6</v>
      </c>
    </row>
    <row r="29" spans="1:5" x14ac:dyDescent="0.3">
      <c r="A29" s="1" t="s">
        <v>0</v>
      </c>
      <c r="B29" s="1" t="s">
        <v>1</v>
      </c>
      <c r="C29" s="1" t="s">
        <v>5</v>
      </c>
      <c r="D29">
        <v>2019</v>
      </c>
      <c r="E29">
        <v>113.8</v>
      </c>
    </row>
    <row r="30" spans="1:5" x14ac:dyDescent="0.3">
      <c r="A30" s="1" t="s">
        <v>0</v>
      </c>
      <c r="B30" s="1" t="s">
        <v>1</v>
      </c>
      <c r="C30" s="1" t="s">
        <v>5</v>
      </c>
      <c r="D30">
        <v>2020</v>
      </c>
      <c r="E30">
        <v>110.6</v>
      </c>
    </row>
    <row r="31" spans="1:5" x14ac:dyDescent="0.3">
      <c r="A31" s="1" t="s">
        <v>0</v>
      </c>
      <c r="B31" s="1" t="s">
        <v>1</v>
      </c>
      <c r="C31" s="1" t="s">
        <v>5</v>
      </c>
      <c r="D31">
        <v>2021</v>
      </c>
      <c r="E31">
        <v>122.8</v>
      </c>
    </row>
    <row r="32" spans="1:5" x14ac:dyDescent="0.3">
      <c r="A32" s="1" t="s">
        <v>0</v>
      </c>
      <c r="B32" s="1" t="s">
        <v>1</v>
      </c>
      <c r="C32" s="1" t="s">
        <v>5</v>
      </c>
      <c r="D32">
        <v>2022</v>
      </c>
      <c r="E32">
        <v>133.9</v>
      </c>
    </row>
    <row r="33" spans="1:5" x14ac:dyDescent="0.3">
      <c r="A33" s="1" t="s">
        <v>0</v>
      </c>
      <c r="B33" s="1" t="s">
        <v>1</v>
      </c>
      <c r="C33" s="1" t="s">
        <v>5</v>
      </c>
      <c r="D33">
        <v>2023</v>
      </c>
      <c r="E33">
        <v>139.30000000000001</v>
      </c>
    </row>
    <row r="34" spans="1:5" x14ac:dyDescent="0.3">
      <c r="A34" s="1" t="s">
        <v>0</v>
      </c>
      <c r="B34" s="1" t="s">
        <v>1</v>
      </c>
      <c r="C34" s="1" t="s">
        <v>6</v>
      </c>
      <c r="D34">
        <v>2016</v>
      </c>
      <c r="E34">
        <v>101.9</v>
      </c>
    </row>
    <row r="35" spans="1:5" x14ac:dyDescent="0.3">
      <c r="A35" s="1" t="s">
        <v>0</v>
      </c>
      <c r="B35" s="1" t="s">
        <v>1</v>
      </c>
      <c r="C35" s="1" t="s">
        <v>6</v>
      </c>
      <c r="D35">
        <v>2017</v>
      </c>
      <c r="E35">
        <v>106.3</v>
      </c>
    </row>
    <row r="36" spans="1:5" x14ac:dyDescent="0.3">
      <c r="A36" s="1" t="s">
        <v>0</v>
      </c>
      <c r="B36" s="1" t="s">
        <v>1</v>
      </c>
      <c r="C36" s="1" t="s">
        <v>6</v>
      </c>
      <c r="D36">
        <v>2018</v>
      </c>
      <c r="E36">
        <v>110.3</v>
      </c>
    </row>
    <row r="37" spans="1:5" x14ac:dyDescent="0.3">
      <c r="A37" s="1" t="s">
        <v>0</v>
      </c>
      <c r="B37" s="1" t="s">
        <v>1</v>
      </c>
      <c r="C37" s="1" t="s">
        <v>6</v>
      </c>
      <c r="D37">
        <v>2019</v>
      </c>
      <c r="E37">
        <v>113.6</v>
      </c>
    </row>
    <row r="38" spans="1:5" x14ac:dyDescent="0.3">
      <c r="A38" s="1" t="s">
        <v>0</v>
      </c>
      <c r="B38" s="1" t="s">
        <v>1</v>
      </c>
      <c r="C38" s="1" t="s">
        <v>6</v>
      </c>
      <c r="D38">
        <v>2020</v>
      </c>
      <c r="E38">
        <v>118.1</v>
      </c>
    </row>
    <row r="39" spans="1:5" x14ac:dyDescent="0.3">
      <c r="A39" s="1" t="s">
        <v>0</v>
      </c>
      <c r="B39" s="1" t="s">
        <v>1</v>
      </c>
      <c r="C39" s="1" t="s">
        <v>6</v>
      </c>
      <c r="D39">
        <v>2021</v>
      </c>
      <c r="E39">
        <v>124.1</v>
      </c>
    </row>
    <row r="40" spans="1:5" x14ac:dyDescent="0.3">
      <c r="A40" s="1" t="s">
        <v>0</v>
      </c>
      <c r="B40" s="1" t="s">
        <v>1</v>
      </c>
      <c r="C40" s="1" t="s">
        <v>6</v>
      </c>
      <c r="D40">
        <v>2022</v>
      </c>
      <c r="E40">
        <v>134.5</v>
      </c>
    </row>
    <row r="41" spans="1:5" x14ac:dyDescent="0.3">
      <c r="A41" s="1" t="s">
        <v>0</v>
      </c>
      <c r="B41" s="1" t="s">
        <v>1</v>
      </c>
      <c r="C41" s="1" t="s">
        <v>6</v>
      </c>
      <c r="D41">
        <v>2023</v>
      </c>
      <c r="E41">
        <v>140.9</v>
      </c>
    </row>
    <row r="42" spans="1:5" x14ac:dyDescent="0.3">
      <c r="A42" s="1" t="s">
        <v>0</v>
      </c>
      <c r="B42" s="1" t="s">
        <v>1</v>
      </c>
      <c r="C42" s="1" t="s">
        <v>7</v>
      </c>
      <c r="D42">
        <v>2016</v>
      </c>
      <c r="E42">
        <v>102.3</v>
      </c>
    </row>
    <row r="43" spans="1:5" x14ac:dyDescent="0.3">
      <c r="A43" s="1" t="s">
        <v>0</v>
      </c>
      <c r="B43" s="1" t="s">
        <v>1</v>
      </c>
      <c r="C43" s="1" t="s">
        <v>7</v>
      </c>
      <c r="D43">
        <v>2017</v>
      </c>
      <c r="E43">
        <v>105</v>
      </c>
    </row>
    <row r="44" spans="1:5" x14ac:dyDescent="0.3">
      <c r="A44" s="1" t="s">
        <v>0</v>
      </c>
      <c r="B44" s="1" t="s">
        <v>1</v>
      </c>
      <c r="C44" s="1" t="s">
        <v>7</v>
      </c>
      <c r="D44">
        <v>2018</v>
      </c>
      <c r="E44">
        <v>108.3</v>
      </c>
    </row>
    <row r="45" spans="1:5" x14ac:dyDescent="0.3">
      <c r="A45" s="1" t="s">
        <v>0</v>
      </c>
      <c r="B45" s="1" t="s">
        <v>1</v>
      </c>
      <c r="C45" s="1" t="s">
        <v>7</v>
      </c>
      <c r="D45">
        <v>2019</v>
      </c>
      <c r="E45">
        <v>111.6</v>
      </c>
    </row>
    <row r="46" spans="1:5" x14ac:dyDescent="0.3">
      <c r="A46" s="1" t="s">
        <v>0</v>
      </c>
      <c r="B46" s="1" t="s">
        <v>1</v>
      </c>
      <c r="C46" s="1" t="s">
        <v>7</v>
      </c>
      <c r="D46">
        <v>2020</v>
      </c>
      <c r="E46">
        <v>113.1</v>
      </c>
    </row>
    <row r="47" spans="1:5" x14ac:dyDescent="0.3">
      <c r="A47" s="1" t="s">
        <v>0</v>
      </c>
      <c r="B47" s="1" t="s">
        <v>1</v>
      </c>
      <c r="C47" s="1" t="s">
        <v>7</v>
      </c>
      <c r="D47">
        <v>2021</v>
      </c>
      <c r="E47">
        <v>121.7</v>
      </c>
    </row>
    <row r="48" spans="1:5" x14ac:dyDescent="0.3">
      <c r="A48" s="1" t="s">
        <v>0</v>
      </c>
      <c r="B48" s="1" t="s">
        <v>1</v>
      </c>
      <c r="C48" s="1" t="s">
        <v>7</v>
      </c>
      <c r="D48">
        <v>2022</v>
      </c>
      <c r="E48">
        <v>129.69999999999999</v>
      </c>
    </row>
    <row r="49" spans="1:5" x14ac:dyDescent="0.3">
      <c r="A49" s="1" t="s">
        <v>0</v>
      </c>
      <c r="B49" s="1" t="s">
        <v>1</v>
      </c>
      <c r="C49" s="1" t="s">
        <v>7</v>
      </c>
      <c r="D49">
        <v>2023</v>
      </c>
      <c r="E49">
        <v>133</v>
      </c>
    </row>
    <row r="50" spans="1:5" x14ac:dyDescent="0.3">
      <c r="A50" s="1" t="s">
        <v>0</v>
      </c>
      <c r="B50" s="1" t="s">
        <v>8</v>
      </c>
      <c r="C50" s="1" t="s">
        <v>2</v>
      </c>
      <c r="D50">
        <v>2016</v>
      </c>
      <c r="E50">
        <v>101.3</v>
      </c>
    </row>
    <row r="51" spans="1:5" x14ac:dyDescent="0.3">
      <c r="A51" s="1" t="s">
        <v>0</v>
      </c>
      <c r="B51" s="1" t="s">
        <v>8</v>
      </c>
      <c r="C51" s="1" t="s">
        <v>2</v>
      </c>
      <c r="D51">
        <v>2017</v>
      </c>
      <c r="E51">
        <v>102.3</v>
      </c>
    </row>
    <row r="52" spans="1:5" x14ac:dyDescent="0.3">
      <c r="A52" s="1" t="s">
        <v>0</v>
      </c>
      <c r="B52" s="1" t="s">
        <v>8</v>
      </c>
      <c r="C52" s="1" t="s">
        <v>2</v>
      </c>
      <c r="D52">
        <v>2018</v>
      </c>
      <c r="E52">
        <v>103.6</v>
      </c>
    </row>
    <row r="53" spans="1:5" x14ac:dyDescent="0.3">
      <c r="A53" s="1" t="s">
        <v>0</v>
      </c>
      <c r="B53" s="1" t="s">
        <v>8</v>
      </c>
      <c r="C53" s="1" t="s">
        <v>2</v>
      </c>
      <c r="D53">
        <v>2019</v>
      </c>
      <c r="E53">
        <v>104.6</v>
      </c>
    </row>
    <row r="54" spans="1:5" x14ac:dyDescent="0.3">
      <c r="A54" s="1" t="s">
        <v>0</v>
      </c>
      <c r="B54" s="1" t="s">
        <v>8</v>
      </c>
      <c r="C54" s="1" t="s">
        <v>2</v>
      </c>
      <c r="D54">
        <v>2020</v>
      </c>
      <c r="E54">
        <v>111.8</v>
      </c>
    </row>
    <row r="55" spans="1:5" x14ac:dyDescent="0.3">
      <c r="A55" s="1" t="s">
        <v>0</v>
      </c>
      <c r="B55" s="1" t="s">
        <v>8</v>
      </c>
      <c r="C55" s="1" t="s">
        <v>2</v>
      </c>
      <c r="D55">
        <v>2021</v>
      </c>
      <c r="E55">
        <v>111</v>
      </c>
    </row>
    <row r="56" spans="1:5" x14ac:dyDescent="0.3">
      <c r="A56" s="1" t="s">
        <v>0</v>
      </c>
      <c r="B56" s="1" t="s">
        <v>8</v>
      </c>
      <c r="C56" s="1" t="s">
        <v>2</v>
      </c>
      <c r="D56">
        <v>2022</v>
      </c>
      <c r="E56">
        <v>112.7</v>
      </c>
    </row>
    <row r="57" spans="1:5" x14ac:dyDescent="0.3">
      <c r="A57" s="1" t="s">
        <v>0</v>
      </c>
      <c r="B57" s="1" t="s">
        <v>8</v>
      </c>
      <c r="C57" s="1" t="s">
        <v>2</v>
      </c>
      <c r="D57">
        <v>2023</v>
      </c>
      <c r="E57">
        <v>121</v>
      </c>
    </row>
    <row r="58" spans="1:5" x14ac:dyDescent="0.3">
      <c r="A58" s="1" t="s">
        <v>0</v>
      </c>
      <c r="B58" s="1" t="s">
        <v>8</v>
      </c>
      <c r="C58" s="1" t="s">
        <v>3</v>
      </c>
      <c r="D58">
        <v>2016</v>
      </c>
      <c r="E58">
        <v>101.5</v>
      </c>
    </row>
    <row r="59" spans="1:5" x14ac:dyDescent="0.3">
      <c r="A59" s="1" t="s">
        <v>0</v>
      </c>
      <c r="B59" s="1" t="s">
        <v>8</v>
      </c>
      <c r="C59" s="1" t="s">
        <v>3</v>
      </c>
      <c r="D59">
        <v>2017</v>
      </c>
      <c r="E59">
        <v>105.9</v>
      </c>
    </row>
    <row r="60" spans="1:5" x14ac:dyDescent="0.3">
      <c r="A60" s="1" t="s">
        <v>0</v>
      </c>
      <c r="B60" s="1" t="s">
        <v>8</v>
      </c>
      <c r="C60" s="1" t="s">
        <v>3</v>
      </c>
      <c r="D60">
        <v>2018</v>
      </c>
      <c r="E60">
        <v>109.5</v>
      </c>
    </row>
    <row r="61" spans="1:5" x14ac:dyDescent="0.3">
      <c r="A61" s="1" t="s">
        <v>0</v>
      </c>
      <c r="B61" s="1" t="s">
        <v>8</v>
      </c>
      <c r="C61" s="1" t="s">
        <v>3</v>
      </c>
      <c r="D61">
        <v>2019</v>
      </c>
      <c r="E61">
        <v>112.1</v>
      </c>
    </row>
    <row r="62" spans="1:5" x14ac:dyDescent="0.3">
      <c r="A62" s="1" t="s">
        <v>0</v>
      </c>
      <c r="B62" s="1" t="s">
        <v>8</v>
      </c>
      <c r="C62" s="1" t="s">
        <v>3</v>
      </c>
      <c r="D62">
        <v>2020</v>
      </c>
      <c r="E62">
        <v>120.1</v>
      </c>
    </row>
    <row r="63" spans="1:5" x14ac:dyDescent="0.3">
      <c r="A63" s="1" t="s">
        <v>0</v>
      </c>
      <c r="B63" s="1" t="s">
        <v>8</v>
      </c>
      <c r="C63" s="1" t="s">
        <v>3</v>
      </c>
      <c r="D63">
        <v>2021</v>
      </c>
      <c r="E63">
        <v>120.1</v>
      </c>
    </row>
    <row r="64" spans="1:5" x14ac:dyDescent="0.3">
      <c r="A64" s="1" t="s">
        <v>0</v>
      </c>
      <c r="B64" s="1" t="s">
        <v>8</v>
      </c>
      <c r="C64" s="1" t="s">
        <v>3</v>
      </c>
      <c r="D64">
        <v>2022</v>
      </c>
      <c r="E64">
        <v>127.9</v>
      </c>
    </row>
    <row r="65" spans="1:5" x14ac:dyDescent="0.3">
      <c r="A65" s="1" t="s">
        <v>0</v>
      </c>
      <c r="B65" s="1" t="s">
        <v>8</v>
      </c>
      <c r="C65" s="1" t="s">
        <v>3</v>
      </c>
      <c r="D65">
        <v>2023</v>
      </c>
      <c r="E65">
        <v>135.6</v>
      </c>
    </row>
    <row r="66" spans="1:5" x14ac:dyDescent="0.3">
      <c r="A66" s="1" t="s">
        <v>0</v>
      </c>
      <c r="B66" s="1" t="s">
        <v>8</v>
      </c>
      <c r="C66" s="1" t="s">
        <v>4</v>
      </c>
      <c r="D66">
        <v>2016</v>
      </c>
      <c r="E66">
        <v>99.3</v>
      </c>
    </row>
    <row r="67" spans="1:5" x14ac:dyDescent="0.3">
      <c r="A67" s="1" t="s">
        <v>0</v>
      </c>
      <c r="B67" s="1" t="s">
        <v>8</v>
      </c>
      <c r="C67" s="1" t="s">
        <v>4</v>
      </c>
      <c r="D67">
        <v>2017</v>
      </c>
      <c r="E67">
        <v>99.4</v>
      </c>
    </row>
    <row r="68" spans="1:5" x14ac:dyDescent="0.3">
      <c r="A68" s="1" t="s">
        <v>0</v>
      </c>
      <c r="B68" s="1" t="s">
        <v>8</v>
      </c>
      <c r="C68" s="1" t="s">
        <v>4</v>
      </c>
      <c r="D68">
        <v>2018</v>
      </c>
      <c r="E68">
        <v>99.5</v>
      </c>
    </row>
    <row r="69" spans="1:5" x14ac:dyDescent="0.3">
      <c r="A69" s="1" t="s">
        <v>0</v>
      </c>
      <c r="B69" s="1" t="s">
        <v>8</v>
      </c>
      <c r="C69" s="1" t="s">
        <v>4</v>
      </c>
      <c r="D69">
        <v>2019</v>
      </c>
      <c r="E69">
        <v>101.1</v>
      </c>
    </row>
    <row r="70" spans="1:5" x14ac:dyDescent="0.3">
      <c r="A70" s="1" t="s">
        <v>0</v>
      </c>
      <c r="B70" s="1" t="s">
        <v>8</v>
      </c>
      <c r="C70" s="1" t="s">
        <v>4</v>
      </c>
      <c r="D70">
        <v>2020</v>
      </c>
      <c r="E70">
        <v>106.2</v>
      </c>
    </row>
    <row r="71" spans="1:5" x14ac:dyDescent="0.3">
      <c r="A71" s="1" t="s">
        <v>0</v>
      </c>
      <c r="B71" s="1" t="s">
        <v>8</v>
      </c>
      <c r="C71" s="1" t="s">
        <v>4</v>
      </c>
      <c r="D71">
        <v>2021</v>
      </c>
      <c r="E71">
        <v>107.8</v>
      </c>
    </row>
    <row r="72" spans="1:5" x14ac:dyDescent="0.3">
      <c r="A72" s="1" t="s">
        <v>0</v>
      </c>
      <c r="B72" s="1" t="s">
        <v>8</v>
      </c>
      <c r="C72" s="1" t="s">
        <v>4</v>
      </c>
      <c r="D72">
        <v>2022</v>
      </c>
      <c r="E72">
        <v>109.5</v>
      </c>
    </row>
    <row r="73" spans="1:5" x14ac:dyDescent="0.3">
      <c r="A73" s="1" t="s">
        <v>0</v>
      </c>
      <c r="B73" s="1" t="s">
        <v>8</v>
      </c>
      <c r="C73" s="1" t="s">
        <v>4</v>
      </c>
      <c r="D73">
        <v>2023</v>
      </c>
      <c r="E73">
        <v>118.1</v>
      </c>
    </row>
    <row r="74" spans="1:5" x14ac:dyDescent="0.3">
      <c r="A74" s="1" t="s">
        <v>0</v>
      </c>
      <c r="B74" s="1" t="s">
        <v>8</v>
      </c>
      <c r="C74" s="1" t="s">
        <v>5</v>
      </c>
      <c r="D74">
        <v>2016</v>
      </c>
      <c r="E74">
        <v>101.4</v>
      </c>
    </row>
    <row r="75" spans="1:5" x14ac:dyDescent="0.3">
      <c r="A75" s="1" t="s">
        <v>0</v>
      </c>
      <c r="B75" s="1" t="s">
        <v>8</v>
      </c>
      <c r="C75" s="1" t="s">
        <v>5</v>
      </c>
      <c r="D75">
        <v>2017</v>
      </c>
      <c r="E75">
        <v>105.2</v>
      </c>
    </row>
    <row r="76" spans="1:5" x14ac:dyDescent="0.3">
      <c r="A76" s="1" t="s">
        <v>0</v>
      </c>
      <c r="B76" s="1" t="s">
        <v>8</v>
      </c>
      <c r="C76" s="1" t="s">
        <v>5</v>
      </c>
      <c r="D76">
        <v>2018</v>
      </c>
      <c r="E76">
        <v>109.9</v>
      </c>
    </row>
    <row r="77" spans="1:5" x14ac:dyDescent="0.3">
      <c r="A77" s="1" t="s">
        <v>0</v>
      </c>
      <c r="B77" s="1" t="s">
        <v>8</v>
      </c>
      <c r="C77" s="1" t="s">
        <v>5</v>
      </c>
      <c r="D77">
        <v>2019</v>
      </c>
      <c r="E77">
        <v>112.4</v>
      </c>
    </row>
    <row r="78" spans="1:5" x14ac:dyDescent="0.3">
      <c r="A78" s="1" t="s">
        <v>0</v>
      </c>
      <c r="B78" s="1" t="s">
        <v>8</v>
      </c>
      <c r="C78" s="1" t="s">
        <v>5</v>
      </c>
      <c r="D78">
        <v>2020</v>
      </c>
      <c r="E78">
        <v>114.4</v>
      </c>
    </row>
    <row r="79" spans="1:5" x14ac:dyDescent="0.3">
      <c r="A79" s="1" t="s">
        <v>0</v>
      </c>
      <c r="B79" s="1" t="s">
        <v>8</v>
      </c>
      <c r="C79" s="1" t="s">
        <v>5</v>
      </c>
      <c r="D79">
        <v>2021</v>
      </c>
      <c r="E79">
        <v>120</v>
      </c>
    </row>
    <row r="80" spans="1:5" x14ac:dyDescent="0.3">
      <c r="A80" s="1" t="s">
        <v>0</v>
      </c>
      <c r="B80" s="1" t="s">
        <v>8</v>
      </c>
      <c r="C80" s="1" t="s">
        <v>5</v>
      </c>
      <c r="D80">
        <v>2022</v>
      </c>
      <c r="E80">
        <v>130.1</v>
      </c>
    </row>
    <row r="81" spans="1:5" x14ac:dyDescent="0.3">
      <c r="A81" s="1" t="s">
        <v>0</v>
      </c>
      <c r="B81" s="1" t="s">
        <v>8</v>
      </c>
      <c r="C81" s="1" t="s">
        <v>6</v>
      </c>
      <c r="D81">
        <v>2016</v>
      </c>
      <c r="E81">
        <v>101.2</v>
      </c>
    </row>
    <row r="82" spans="1:5" x14ac:dyDescent="0.3">
      <c r="A82" s="1" t="s">
        <v>0</v>
      </c>
      <c r="B82" s="1" t="s">
        <v>8</v>
      </c>
      <c r="C82" s="1" t="s">
        <v>6</v>
      </c>
      <c r="D82">
        <v>2017</v>
      </c>
      <c r="E82">
        <v>105</v>
      </c>
    </row>
    <row r="83" spans="1:5" x14ac:dyDescent="0.3">
      <c r="A83" s="1" t="s">
        <v>0</v>
      </c>
      <c r="B83" s="1" t="s">
        <v>8</v>
      </c>
      <c r="C83" s="1" t="s">
        <v>6</v>
      </c>
      <c r="D83">
        <v>2018</v>
      </c>
      <c r="E83">
        <v>109.2</v>
      </c>
    </row>
    <row r="84" spans="1:5" x14ac:dyDescent="0.3">
      <c r="A84" s="1" t="s">
        <v>0</v>
      </c>
      <c r="B84" s="1" t="s">
        <v>8</v>
      </c>
      <c r="C84" s="1" t="s">
        <v>6</v>
      </c>
      <c r="D84">
        <v>2019</v>
      </c>
      <c r="E84">
        <v>111.5</v>
      </c>
    </row>
    <row r="85" spans="1:5" x14ac:dyDescent="0.3">
      <c r="A85" s="1" t="s">
        <v>0</v>
      </c>
      <c r="B85" s="1" t="s">
        <v>8</v>
      </c>
      <c r="C85" s="1" t="s">
        <v>6</v>
      </c>
      <c r="D85">
        <v>2020</v>
      </c>
      <c r="E85">
        <v>117.6</v>
      </c>
    </row>
    <row r="86" spans="1:5" x14ac:dyDescent="0.3">
      <c r="A86" s="1" t="s">
        <v>0</v>
      </c>
      <c r="B86" s="1" t="s">
        <v>8</v>
      </c>
      <c r="C86" s="1" t="s">
        <v>6</v>
      </c>
      <c r="D86">
        <v>2021</v>
      </c>
      <c r="E86">
        <v>117.4</v>
      </c>
    </row>
    <row r="87" spans="1:5" x14ac:dyDescent="0.3">
      <c r="A87" s="1" t="s">
        <v>0</v>
      </c>
      <c r="B87" s="1" t="s">
        <v>8</v>
      </c>
      <c r="C87" s="1" t="s">
        <v>6</v>
      </c>
      <c r="D87">
        <v>2022</v>
      </c>
      <c r="E87">
        <v>125.2</v>
      </c>
    </row>
    <row r="88" spans="1:5" x14ac:dyDescent="0.3">
      <c r="A88" s="1" t="s">
        <v>0</v>
      </c>
      <c r="B88" s="1" t="s">
        <v>8</v>
      </c>
      <c r="C88" s="1" t="s">
        <v>6</v>
      </c>
      <c r="D88">
        <v>2023</v>
      </c>
      <c r="E88">
        <v>135.80000000000001</v>
      </c>
    </row>
    <row r="89" spans="1:5" x14ac:dyDescent="0.3">
      <c r="A89" s="1" t="s">
        <v>0</v>
      </c>
      <c r="B89" s="1" t="s">
        <v>8</v>
      </c>
      <c r="C89" s="1" t="s">
        <v>7</v>
      </c>
      <c r="D89">
        <v>2016</v>
      </c>
      <c r="E89">
        <v>102.2</v>
      </c>
    </row>
    <row r="90" spans="1:5" x14ac:dyDescent="0.3">
      <c r="A90" s="1" t="s">
        <v>0</v>
      </c>
      <c r="B90" s="1" t="s">
        <v>8</v>
      </c>
      <c r="C90" s="1" t="s">
        <v>7</v>
      </c>
      <c r="D90">
        <v>2017</v>
      </c>
      <c r="E90">
        <v>104.5</v>
      </c>
    </row>
    <row r="91" spans="1:5" x14ac:dyDescent="0.3">
      <c r="A91" s="1" t="s">
        <v>0</v>
      </c>
      <c r="B91" s="1" t="s">
        <v>8</v>
      </c>
      <c r="C91" s="1" t="s">
        <v>7</v>
      </c>
      <c r="D91">
        <v>2018</v>
      </c>
      <c r="E91">
        <v>108.2</v>
      </c>
    </row>
    <row r="92" spans="1:5" x14ac:dyDescent="0.3">
      <c r="A92" s="1" t="s">
        <v>0</v>
      </c>
      <c r="B92" s="1" t="s">
        <v>8</v>
      </c>
      <c r="C92" s="1" t="s">
        <v>7</v>
      </c>
      <c r="D92">
        <v>2019</v>
      </c>
      <c r="E92">
        <v>112.2</v>
      </c>
    </row>
    <row r="93" spans="1:5" x14ac:dyDescent="0.3">
      <c r="A93" s="1" t="s">
        <v>0</v>
      </c>
      <c r="B93" s="1" t="s">
        <v>8</v>
      </c>
      <c r="C93" s="1" t="s">
        <v>7</v>
      </c>
      <c r="D93">
        <v>2020</v>
      </c>
      <c r="E93">
        <v>115.9</v>
      </c>
    </row>
    <row r="94" spans="1:5" x14ac:dyDescent="0.3">
      <c r="A94" s="1" t="s">
        <v>0</v>
      </c>
      <c r="B94" s="1" t="s">
        <v>8</v>
      </c>
      <c r="C94" s="1" t="s">
        <v>7</v>
      </c>
      <c r="D94">
        <v>2021</v>
      </c>
      <c r="E94">
        <v>119.6</v>
      </c>
    </row>
    <row r="95" spans="1:5" x14ac:dyDescent="0.3">
      <c r="A95" s="1" t="s">
        <v>0</v>
      </c>
      <c r="B95" s="1" t="s">
        <v>8</v>
      </c>
      <c r="C95" s="1" t="s">
        <v>7</v>
      </c>
      <c r="D95">
        <v>2022</v>
      </c>
      <c r="E95">
        <v>129.5</v>
      </c>
    </row>
    <row r="96" spans="1:5" x14ac:dyDescent="0.3">
      <c r="A96" s="1" t="s">
        <v>0</v>
      </c>
      <c r="B96" s="1" t="s">
        <v>8</v>
      </c>
      <c r="C96" s="1" t="s">
        <v>7</v>
      </c>
      <c r="D96">
        <v>2023</v>
      </c>
      <c r="E96">
        <v>139.19999999999999</v>
      </c>
    </row>
    <row r="97" spans="1:5" x14ac:dyDescent="0.3">
      <c r="A97" s="1" t="s">
        <v>0</v>
      </c>
      <c r="B97" s="1" t="s">
        <v>9</v>
      </c>
      <c r="C97" s="1" t="s">
        <v>2</v>
      </c>
      <c r="D97">
        <v>2016</v>
      </c>
      <c r="E97">
        <v>100.9</v>
      </c>
    </row>
    <row r="98" spans="1:5" x14ac:dyDescent="0.3">
      <c r="A98" s="1" t="s">
        <v>0</v>
      </c>
      <c r="B98" s="1" t="s">
        <v>9</v>
      </c>
      <c r="C98" s="1" t="s">
        <v>2</v>
      </c>
      <c r="D98">
        <v>2017</v>
      </c>
      <c r="E98">
        <v>101.9</v>
      </c>
    </row>
    <row r="99" spans="1:5" x14ac:dyDescent="0.3">
      <c r="A99" s="1" t="s">
        <v>0</v>
      </c>
      <c r="B99" s="1" t="s">
        <v>9</v>
      </c>
      <c r="C99" s="1" t="s">
        <v>2</v>
      </c>
      <c r="D99">
        <v>2018</v>
      </c>
      <c r="E99">
        <v>103.3</v>
      </c>
    </row>
    <row r="100" spans="1:5" x14ac:dyDescent="0.3">
      <c r="A100" s="1" t="s">
        <v>0</v>
      </c>
      <c r="B100" s="1" t="s">
        <v>9</v>
      </c>
      <c r="C100" s="1" t="s">
        <v>2</v>
      </c>
      <c r="D100">
        <v>2019</v>
      </c>
      <c r="E100">
        <v>104.4</v>
      </c>
    </row>
    <row r="101" spans="1:5" x14ac:dyDescent="0.3">
      <c r="A101" s="1" t="s">
        <v>0</v>
      </c>
      <c r="B101" s="1" t="s">
        <v>9</v>
      </c>
      <c r="C101" s="1" t="s">
        <v>2</v>
      </c>
      <c r="D101">
        <v>2020</v>
      </c>
      <c r="E101">
        <v>112</v>
      </c>
    </row>
    <row r="102" spans="1:5" x14ac:dyDescent="0.3">
      <c r="A102" s="1" t="s">
        <v>0</v>
      </c>
      <c r="B102" s="1" t="s">
        <v>9</v>
      </c>
      <c r="C102" s="1" t="s">
        <v>2</v>
      </c>
      <c r="D102">
        <v>2021</v>
      </c>
      <c r="E102">
        <v>110.3</v>
      </c>
    </row>
    <row r="103" spans="1:5" x14ac:dyDescent="0.3">
      <c r="A103" s="1" t="s">
        <v>0</v>
      </c>
      <c r="B103" s="1" t="s">
        <v>9</v>
      </c>
      <c r="C103" s="1" t="s">
        <v>2</v>
      </c>
      <c r="D103">
        <v>2022</v>
      </c>
      <c r="E103">
        <v>112</v>
      </c>
    </row>
    <row r="104" spans="1:5" x14ac:dyDescent="0.3">
      <c r="A104" s="1" t="s">
        <v>0</v>
      </c>
      <c r="B104" s="1" t="s">
        <v>9</v>
      </c>
      <c r="C104" s="1" t="s">
        <v>2</v>
      </c>
      <c r="D104">
        <v>2023</v>
      </c>
      <c r="E104">
        <v>119.3</v>
      </c>
    </row>
    <row r="105" spans="1:5" x14ac:dyDescent="0.3">
      <c r="A105" s="1" t="s">
        <v>0</v>
      </c>
      <c r="B105" s="1" t="s">
        <v>9</v>
      </c>
      <c r="C105" s="1" t="s">
        <v>3</v>
      </c>
      <c r="D105">
        <v>2016</v>
      </c>
      <c r="E105">
        <v>101.5</v>
      </c>
    </row>
    <row r="106" spans="1:5" x14ac:dyDescent="0.3">
      <c r="A106" s="1" t="s">
        <v>0</v>
      </c>
      <c r="B106" s="1" t="s">
        <v>9</v>
      </c>
      <c r="C106" s="1" t="s">
        <v>3</v>
      </c>
      <c r="D106">
        <v>2017</v>
      </c>
      <c r="E106">
        <v>105.8</v>
      </c>
    </row>
    <row r="107" spans="1:5" x14ac:dyDescent="0.3">
      <c r="A107" s="1" t="s">
        <v>0</v>
      </c>
      <c r="B107" s="1" t="s">
        <v>9</v>
      </c>
      <c r="C107" s="1" t="s">
        <v>3</v>
      </c>
      <c r="D107">
        <v>2018</v>
      </c>
      <c r="E107">
        <v>109.6</v>
      </c>
    </row>
    <row r="108" spans="1:5" x14ac:dyDescent="0.3">
      <c r="A108" s="1" t="s">
        <v>0</v>
      </c>
      <c r="B108" s="1" t="s">
        <v>9</v>
      </c>
      <c r="C108" s="1" t="s">
        <v>3</v>
      </c>
      <c r="D108">
        <v>2019</v>
      </c>
      <c r="E108">
        <v>112.2</v>
      </c>
    </row>
    <row r="109" spans="1:5" x14ac:dyDescent="0.3">
      <c r="A109" s="1" t="s">
        <v>0</v>
      </c>
      <c r="B109" s="1" t="s">
        <v>9</v>
      </c>
      <c r="C109" s="1" t="s">
        <v>3</v>
      </c>
      <c r="D109">
        <v>2020</v>
      </c>
      <c r="E109">
        <v>121.3</v>
      </c>
    </row>
    <row r="110" spans="1:5" x14ac:dyDescent="0.3">
      <c r="A110" s="1" t="s">
        <v>0</v>
      </c>
      <c r="B110" s="1" t="s">
        <v>9</v>
      </c>
      <c r="C110" s="1" t="s">
        <v>3</v>
      </c>
      <c r="D110">
        <v>2021</v>
      </c>
      <c r="E110">
        <v>121.7</v>
      </c>
    </row>
    <row r="111" spans="1:5" x14ac:dyDescent="0.3">
      <c r="A111" s="1" t="s">
        <v>0</v>
      </c>
      <c r="B111" s="1" t="s">
        <v>9</v>
      </c>
      <c r="C111" s="1" t="s">
        <v>3</v>
      </c>
      <c r="D111">
        <v>2022</v>
      </c>
      <c r="E111">
        <v>128.19999999999999</v>
      </c>
    </row>
    <row r="112" spans="1:5" x14ac:dyDescent="0.3">
      <c r="A112" s="1" t="s">
        <v>0</v>
      </c>
      <c r="B112" s="1" t="s">
        <v>9</v>
      </c>
      <c r="C112" s="1" t="s">
        <v>3</v>
      </c>
      <c r="D112">
        <v>2023</v>
      </c>
      <c r="E112">
        <v>136.30000000000001</v>
      </c>
    </row>
    <row r="113" spans="1:5" x14ac:dyDescent="0.3">
      <c r="A113" s="1" t="s">
        <v>0</v>
      </c>
      <c r="B113" s="1" t="s">
        <v>9</v>
      </c>
      <c r="C113" s="1" t="s">
        <v>4</v>
      </c>
      <c r="D113">
        <v>2016</v>
      </c>
      <c r="E113">
        <v>100.7</v>
      </c>
    </row>
    <row r="114" spans="1:5" x14ac:dyDescent="0.3">
      <c r="A114" s="1" t="s">
        <v>0</v>
      </c>
      <c r="B114" s="1" t="s">
        <v>9</v>
      </c>
      <c r="C114" s="1" t="s">
        <v>4</v>
      </c>
      <c r="D114">
        <v>2017</v>
      </c>
      <c r="E114">
        <v>100.5</v>
      </c>
    </row>
    <row r="115" spans="1:5" x14ac:dyDescent="0.3">
      <c r="A115" s="1" t="s">
        <v>0</v>
      </c>
      <c r="B115" s="1" t="s">
        <v>9</v>
      </c>
      <c r="C115" s="1" t="s">
        <v>4</v>
      </c>
      <c r="D115">
        <v>2018</v>
      </c>
      <c r="E115">
        <v>100.3</v>
      </c>
    </row>
    <row r="116" spans="1:5" x14ac:dyDescent="0.3">
      <c r="A116" s="1" t="s">
        <v>0</v>
      </c>
      <c r="B116" s="1" t="s">
        <v>9</v>
      </c>
      <c r="C116" s="1" t="s">
        <v>4</v>
      </c>
      <c r="D116">
        <v>2019</v>
      </c>
      <c r="E116">
        <v>110.7</v>
      </c>
    </row>
    <row r="117" spans="1:5" x14ac:dyDescent="0.3">
      <c r="A117" s="1" t="s">
        <v>0</v>
      </c>
      <c r="B117" s="1" t="s">
        <v>9</v>
      </c>
      <c r="C117" s="1" t="s">
        <v>4</v>
      </c>
      <c r="D117">
        <v>2020</v>
      </c>
      <c r="E117">
        <v>116.2</v>
      </c>
    </row>
    <row r="118" spans="1:5" x14ac:dyDescent="0.3">
      <c r="A118" s="1" t="s">
        <v>0</v>
      </c>
      <c r="B118" s="1" t="s">
        <v>9</v>
      </c>
      <c r="C118" s="1" t="s">
        <v>4</v>
      </c>
      <c r="D118">
        <v>2021</v>
      </c>
      <c r="E118">
        <v>116.5</v>
      </c>
    </row>
    <row r="119" spans="1:5" x14ac:dyDescent="0.3">
      <c r="A119" s="1" t="s">
        <v>0</v>
      </c>
      <c r="B119" s="1" t="s">
        <v>9</v>
      </c>
      <c r="C119" s="1" t="s">
        <v>4</v>
      </c>
      <c r="D119">
        <v>2022</v>
      </c>
      <c r="E119">
        <v>115.7</v>
      </c>
    </row>
    <row r="120" spans="1:5" x14ac:dyDescent="0.3">
      <c r="A120" s="1" t="s">
        <v>0</v>
      </c>
      <c r="B120" s="1" t="s">
        <v>9</v>
      </c>
      <c r="C120" s="1" t="s">
        <v>4</v>
      </c>
      <c r="D120">
        <v>2023</v>
      </c>
      <c r="E120">
        <v>119.5</v>
      </c>
    </row>
    <row r="121" spans="1:5" x14ac:dyDescent="0.3">
      <c r="A121" s="1" t="s">
        <v>0</v>
      </c>
      <c r="B121" s="1" t="s">
        <v>9</v>
      </c>
      <c r="C121" s="1" t="s">
        <v>5</v>
      </c>
      <c r="D121">
        <v>2016</v>
      </c>
      <c r="E121">
        <v>102.2</v>
      </c>
    </row>
    <row r="122" spans="1:5" x14ac:dyDescent="0.3">
      <c r="A122" s="1" t="s">
        <v>0</v>
      </c>
      <c r="B122" s="1" t="s">
        <v>9</v>
      </c>
      <c r="C122" s="1" t="s">
        <v>5</v>
      </c>
      <c r="D122">
        <v>2017</v>
      </c>
      <c r="E122">
        <v>106.2</v>
      </c>
    </row>
    <row r="123" spans="1:5" x14ac:dyDescent="0.3">
      <c r="A123" s="1" t="s">
        <v>0</v>
      </c>
      <c r="B123" s="1" t="s">
        <v>9</v>
      </c>
      <c r="C123" s="1" t="s">
        <v>5</v>
      </c>
      <c r="D123">
        <v>2018</v>
      </c>
      <c r="E123">
        <v>111.2</v>
      </c>
    </row>
    <row r="124" spans="1:5" x14ac:dyDescent="0.3">
      <c r="A124" s="1" t="s">
        <v>0</v>
      </c>
      <c r="B124" s="1" t="s">
        <v>9</v>
      </c>
      <c r="C124" s="1" t="s">
        <v>5</v>
      </c>
      <c r="D124">
        <v>2019</v>
      </c>
      <c r="E124">
        <v>114</v>
      </c>
    </row>
    <row r="125" spans="1:5" x14ac:dyDescent="0.3">
      <c r="A125" s="1" t="s">
        <v>0</v>
      </c>
      <c r="B125" s="1" t="s">
        <v>9</v>
      </c>
      <c r="C125" s="1" t="s">
        <v>5</v>
      </c>
      <c r="D125">
        <v>2020</v>
      </c>
      <c r="E125">
        <v>118.9</v>
      </c>
    </row>
    <row r="126" spans="1:5" x14ac:dyDescent="0.3">
      <c r="A126" s="1" t="s">
        <v>0</v>
      </c>
      <c r="B126" s="1" t="s">
        <v>9</v>
      </c>
      <c r="C126" s="1" t="s">
        <v>5</v>
      </c>
      <c r="D126">
        <v>2021</v>
      </c>
      <c r="E126">
        <v>124.8</v>
      </c>
    </row>
    <row r="127" spans="1:5" x14ac:dyDescent="0.3">
      <c r="A127" s="1" t="s">
        <v>0</v>
      </c>
      <c r="B127" s="1" t="s">
        <v>9</v>
      </c>
      <c r="C127" s="1" t="s">
        <v>5</v>
      </c>
      <c r="D127">
        <v>2022</v>
      </c>
      <c r="E127">
        <v>133.4</v>
      </c>
    </row>
    <row r="128" spans="1:5" x14ac:dyDescent="0.3">
      <c r="A128" s="1" t="s">
        <v>0</v>
      </c>
      <c r="B128" s="1" t="s">
        <v>9</v>
      </c>
      <c r="C128" s="1" t="s">
        <v>5</v>
      </c>
      <c r="D128">
        <v>2023</v>
      </c>
      <c r="E128">
        <v>142.4</v>
      </c>
    </row>
    <row r="129" spans="1:5" x14ac:dyDescent="0.3">
      <c r="A129" s="1" t="s">
        <v>0</v>
      </c>
      <c r="B129" s="1" t="s">
        <v>9</v>
      </c>
      <c r="C129" s="1" t="s">
        <v>6</v>
      </c>
      <c r="D129">
        <v>2016</v>
      </c>
      <c r="E129">
        <v>101.7</v>
      </c>
    </row>
    <row r="130" spans="1:5" x14ac:dyDescent="0.3">
      <c r="A130" s="1" t="s">
        <v>0</v>
      </c>
      <c r="B130" s="1" t="s">
        <v>9</v>
      </c>
      <c r="C130" s="1" t="s">
        <v>6</v>
      </c>
      <c r="D130">
        <v>2017</v>
      </c>
      <c r="E130">
        <v>105</v>
      </c>
    </row>
    <row r="131" spans="1:5" x14ac:dyDescent="0.3">
      <c r="A131" s="1" t="s">
        <v>0</v>
      </c>
      <c r="B131" s="1" t="s">
        <v>9</v>
      </c>
      <c r="C131" s="1" t="s">
        <v>6</v>
      </c>
      <c r="D131">
        <v>2018</v>
      </c>
      <c r="E131">
        <v>108.4</v>
      </c>
    </row>
    <row r="132" spans="1:5" x14ac:dyDescent="0.3">
      <c r="A132" s="1" t="s">
        <v>0</v>
      </c>
      <c r="B132" s="1" t="s">
        <v>9</v>
      </c>
      <c r="C132" s="1" t="s">
        <v>6</v>
      </c>
      <c r="D132">
        <v>2019</v>
      </c>
      <c r="E132">
        <v>109.9</v>
      </c>
    </row>
    <row r="133" spans="1:5" x14ac:dyDescent="0.3">
      <c r="A133" s="1" t="s">
        <v>0</v>
      </c>
      <c r="B133" s="1" t="s">
        <v>9</v>
      </c>
      <c r="C133" s="1" t="s">
        <v>6</v>
      </c>
      <c r="D133">
        <v>2020</v>
      </c>
      <c r="E133">
        <v>117.5</v>
      </c>
    </row>
    <row r="134" spans="1:5" x14ac:dyDescent="0.3">
      <c r="A134" s="1" t="s">
        <v>0</v>
      </c>
      <c r="B134" s="1" t="s">
        <v>9</v>
      </c>
      <c r="C134" s="1" t="s">
        <v>6</v>
      </c>
      <c r="D134">
        <v>2021</v>
      </c>
      <c r="E134">
        <v>118.3</v>
      </c>
    </row>
    <row r="135" spans="1:5" x14ac:dyDescent="0.3">
      <c r="A135" s="1" t="s">
        <v>0</v>
      </c>
      <c r="B135" s="1" t="s">
        <v>9</v>
      </c>
      <c r="C135" s="1" t="s">
        <v>6</v>
      </c>
      <c r="D135">
        <v>2022</v>
      </c>
      <c r="E135">
        <v>123.2</v>
      </c>
    </row>
    <row r="136" spans="1:5" x14ac:dyDescent="0.3">
      <c r="A136" s="1" t="s">
        <v>0</v>
      </c>
      <c r="B136" s="1" t="s">
        <v>9</v>
      </c>
      <c r="C136" s="1" t="s">
        <v>6</v>
      </c>
      <c r="D136">
        <v>2023</v>
      </c>
      <c r="E136">
        <v>132.6</v>
      </c>
    </row>
    <row r="137" spans="1:5" x14ac:dyDescent="0.3">
      <c r="A137" s="1" t="s">
        <v>0</v>
      </c>
      <c r="B137" s="1" t="s">
        <v>9</v>
      </c>
      <c r="C137" s="1" t="s">
        <v>7</v>
      </c>
      <c r="D137">
        <v>2016</v>
      </c>
      <c r="E137">
        <v>102</v>
      </c>
    </row>
    <row r="138" spans="1:5" x14ac:dyDescent="0.3">
      <c r="A138" s="1" t="s">
        <v>0</v>
      </c>
      <c r="B138" s="1" t="s">
        <v>9</v>
      </c>
      <c r="C138" s="1" t="s">
        <v>7</v>
      </c>
      <c r="D138">
        <v>2017</v>
      </c>
      <c r="E138">
        <v>104.7</v>
      </c>
    </row>
    <row r="139" spans="1:5" x14ac:dyDescent="0.3">
      <c r="A139" s="1" t="s">
        <v>0</v>
      </c>
      <c r="B139" s="1" t="s">
        <v>9</v>
      </c>
      <c r="C139" s="1" t="s">
        <v>7</v>
      </c>
      <c r="D139">
        <v>2018</v>
      </c>
      <c r="E139">
        <v>108.4</v>
      </c>
    </row>
    <row r="140" spans="1:5" x14ac:dyDescent="0.3">
      <c r="A140" s="1" t="s">
        <v>0</v>
      </c>
      <c r="B140" s="1" t="s">
        <v>9</v>
      </c>
      <c r="C140" s="1" t="s">
        <v>7</v>
      </c>
      <c r="D140">
        <v>2019</v>
      </c>
      <c r="E140">
        <v>112.5</v>
      </c>
    </row>
    <row r="141" spans="1:5" x14ac:dyDescent="0.3">
      <c r="A141" s="1" t="s">
        <v>0</v>
      </c>
      <c r="B141" s="1" t="s">
        <v>9</v>
      </c>
      <c r="C141" s="1" t="s">
        <v>7</v>
      </c>
      <c r="D141">
        <v>2020</v>
      </c>
      <c r="E141">
        <v>116.9</v>
      </c>
    </row>
    <row r="142" spans="1:5" x14ac:dyDescent="0.3">
      <c r="A142" s="1" t="s">
        <v>0</v>
      </c>
      <c r="B142" s="1" t="s">
        <v>9</v>
      </c>
      <c r="C142" s="1" t="s">
        <v>7</v>
      </c>
      <c r="D142">
        <v>2021</v>
      </c>
      <c r="E142">
        <v>119.9</v>
      </c>
    </row>
    <row r="143" spans="1:5" x14ac:dyDescent="0.3">
      <c r="A143" s="1" t="s">
        <v>0</v>
      </c>
      <c r="B143" s="1" t="s">
        <v>9</v>
      </c>
      <c r="C143" s="1" t="s">
        <v>7</v>
      </c>
      <c r="D143">
        <v>2022</v>
      </c>
      <c r="E143">
        <v>129.1</v>
      </c>
    </row>
    <row r="144" spans="1:5" x14ac:dyDescent="0.3">
      <c r="A144" s="1" t="s">
        <v>0</v>
      </c>
      <c r="B144" s="1" t="s">
        <v>9</v>
      </c>
      <c r="C144" s="1" t="s">
        <v>7</v>
      </c>
      <c r="D144">
        <v>2023</v>
      </c>
      <c r="E144">
        <v>137.69999999999999</v>
      </c>
    </row>
    <row r="145" spans="1:5" x14ac:dyDescent="0.3">
      <c r="A145" s="1" t="s">
        <v>10</v>
      </c>
      <c r="B145" s="1" t="s">
        <v>1</v>
      </c>
      <c r="C145" s="1" t="s">
        <v>2</v>
      </c>
      <c r="D145">
        <v>2016</v>
      </c>
      <c r="E145">
        <v>99.5</v>
      </c>
    </row>
    <row r="146" spans="1:5" x14ac:dyDescent="0.3">
      <c r="A146" s="1" t="s">
        <v>10</v>
      </c>
      <c r="B146" s="1" t="s">
        <v>1</v>
      </c>
      <c r="C146" s="1" t="s">
        <v>2</v>
      </c>
      <c r="D146">
        <v>2017</v>
      </c>
      <c r="E146">
        <v>100.1</v>
      </c>
    </row>
    <row r="147" spans="1:5" x14ac:dyDescent="0.3">
      <c r="A147" s="1" t="s">
        <v>10</v>
      </c>
      <c r="B147" s="1" t="s">
        <v>1</v>
      </c>
      <c r="C147" s="1" t="s">
        <v>2</v>
      </c>
      <c r="D147">
        <v>2018</v>
      </c>
      <c r="E147">
        <v>100.2</v>
      </c>
    </row>
    <row r="148" spans="1:5" x14ac:dyDescent="0.3">
      <c r="A148" s="1" t="s">
        <v>10</v>
      </c>
      <c r="B148" s="1" t="s">
        <v>1</v>
      </c>
      <c r="C148" s="1" t="s">
        <v>2</v>
      </c>
      <c r="D148">
        <v>2019</v>
      </c>
      <c r="E148">
        <v>100.9</v>
      </c>
    </row>
    <row r="149" spans="1:5" x14ac:dyDescent="0.3">
      <c r="A149" s="1" t="s">
        <v>10</v>
      </c>
      <c r="B149" s="1" t="s">
        <v>1</v>
      </c>
      <c r="C149" s="1" t="s">
        <v>2</v>
      </c>
      <c r="D149">
        <v>2020</v>
      </c>
      <c r="E149">
        <v>102.8</v>
      </c>
    </row>
    <row r="150" spans="1:5" x14ac:dyDescent="0.3">
      <c r="A150" s="1" t="s">
        <v>10</v>
      </c>
      <c r="B150" s="1" t="s">
        <v>1</v>
      </c>
      <c r="C150" s="1" t="s">
        <v>2</v>
      </c>
      <c r="D150">
        <v>2021</v>
      </c>
      <c r="E150">
        <v>108.8</v>
      </c>
    </row>
    <row r="151" spans="1:5" x14ac:dyDescent="0.3">
      <c r="A151" s="1" t="s">
        <v>10</v>
      </c>
      <c r="B151" s="1" t="s">
        <v>1</v>
      </c>
      <c r="C151" s="1" t="s">
        <v>2</v>
      </c>
      <c r="D151">
        <v>2022</v>
      </c>
      <c r="E151">
        <v>104.5</v>
      </c>
    </row>
    <row r="152" spans="1:5" x14ac:dyDescent="0.3">
      <c r="A152" s="1" t="s">
        <v>10</v>
      </c>
      <c r="B152" s="1" t="s">
        <v>1</v>
      </c>
      <c r="C152" s="1" t="s">
        <v>2</v>
      </c>
      <c r="D152">
        <v>2023</v>
      </c>
      <c r="E152">
        <v>98.1</v>
      </c>
    </row>
    <row r="153" spans="1:5" x14ac:dyDescent="0.3">
      <c r="A153" s="1" t="s">
        <v>10</v>
      </c>
      <c r="B153" s="1" t="s">
        <v>1</v>
      </c>
      <c r="C153" s="1" t="s">
        <v>3</v>
      </c>
      <c r="D153">
        <v>2016</v>
      </c>
      <c r="E153">
        <v>102.1</v>
      </c>
    </row>
    <row r="154" spans="1:5" x14ac:dyDescent="0.3">
      <c r="A154" s="1" t="s">
        <v>10</v>
      </c>
      <c r="B154" s="1" t="s">
        <v>1</v>
      </c>
      <c r="C154" s="1" t="s">
        <v>3</v>
      </c>
      <c r="D154">
        <v>2017</v>
      </c>
      <c r="E154">
        <v>105.8</v>
      </c>
    </row>
    <row r="155" spans="1:5" x14ac:dyDescent="0.3">
      <c r="A155" s="1" t="s">
        <v>10</v>
      </c>
      <c r="B155" s="1" t="s">
        <v>1</v>
      </c>
      <c r="C155" s="1" t="s">
        <v>3</v>
      </c>
      <c r="D155">
        <v>2018</v>
      </c>
      <c r="E155">
        <v>107.5</v>
      </c>
    </row>
    <row r="156" spans="1:5" x14ac:dyDescent="0.3">
      <c r="A156" s="1" t="s">
        <v>10</v>
      </c>
      <c r="B156" s="1" t="s">
        <v>1</v>
      </c>
      <c r="C156" s="1" t="s">
        <v>3</v>
      </c>
      <c r="D156">
        <v>2019</v>
      </c>
      <c r="E156">
        <v>111</v>
      </c>
    </row>
    <row r="157" spans="1:5" x14ac:dyDescent="0.3">
      <c r="A157" s="1" t="s">
        <v>10</v>
      </c>
      <c r="B157" s="1" t="s">
        <v>1</v>
      </c>
      <c r="C157" s="1" t="s">
        <v>3</v>
      </c>
      <c r="D157">
        <v>2020</v>
      </c>
      <c r="E157">
        <v>115.9</v>
      </c>
    </row>
    <row r="158" spans="1:5" x14ac:dyDescent="0.3">
      <c r="A158" s="1" t="s">
        <v>10</v>
      </c>
      <c r="B158" s="1" t="s">
        <v>1</v>
      </c>
      <c r="C158" s="1" t="s">
        <v>3</v>
      </c>
      <c r="D158">
        <v>2021</v>
      </c>
      <c r="E158">
        <v>116.7</v>
      </c>
    </row>
    <row r="159" spans="1:5" x14ac:dyDescent="0.3">
      <c r="A159" s="1" t="s">
        <v>10</v>
      </c>
      <c r="B159" s="1" t="s">
        <v>1</v>
      </c>
      <c r="C159" s="1" t="s">
        <v>3</v>
      </c>
      <c r="D159">
        <v>2022</v>
      </c>
      <c r="E159">
        <v>115.8</v>
      </c>
    </row>
    <row r="160" spans="1:5" x14ac:dyDescent="0.3">
      <c r="A160" s="1" t="s">
        <v>10</v>
      </c>
      <c r="B160" s="1" t="s">
        <v>1</v>
      </c>
      <c r="C160" s="1" t="s">
        <v>3</v>
      </c>
      <c r="D160">
        <v>2023</v>
      </c>
      <c r="E160">
        <v>112.2</v>
      </c>
    </row>
    <row r="161" spans="1:5" x14ac:dyDescent="0.3">
      <c r="A161" s="1" t="s">
        <v>10</v>
      </c>
      <c r="B161" s="1" t="s">
        <v>1</v>
      </c>
      <c r="C161" s="1" t="s">
        <v>4</v>
      </c>
      <c r="D161">
        <v>2016</v>
      </c>
      <c r="E161">
        <v>101.4</v>
      </c>
    </row>
    <row r="162" spans="1:5" x14ac:dyDescent="0.3">
      <c r="A162" s="1" t="s">
        <v>10</v>
      </c>
      <c r="B162" s="1" t="s">
        <v>1</v>
      </c>
      <c r="C162" s="1" t="s">
        <v>4</v>
      </c>
      <c r="D162">
        <v>2017</v>
      </c>
      <c r="E162">
        <v>102.2</v>
      </c>
    </row>
    <row r="163" spans="1:5" x14ac:dyDescent="0.3">
      <c r="A163" s="1" t="s">
        <v>10</v>
      </c>
      <c r="B163" s="1" t="s">
        <v>1</v>
      </c>
      <c r="C163" s="1" t="s">
        <v>4</v>
      </c>
      <c r="D163">
        <v>2018</v>
      </c>
      <c r="E163">
        <v>103.8</v>
      </c>
    </row>
    <row r="164" spans="1:5" x14ac:dyDescent="0.3">
      <c r="A164" s="1" t="s">
        <v>10</v>
      </c>
      <c r="B164" s="1" t="s">
        <v>1</v>
      </c>
      <c r="C164" s="1" t="s">
        <v>4</v>
      </c>
      <c r="D164">
        <v>2019</v>
      </c>
      <c r="E164">
        <v>104.4</v>
      </c>
    </row>
    <row r="165" spans="1:5" x14ac:dyDescent="0.3">
      <c r="A165" s="1" t="s">
        <v>10</v>
      </c>
      <c r="B165" s="1" t="s">
        <v>1</v>
      </c>
      <c r="C165" s="1" t="s">
        <v>4</v>
      </c>
      <c r="D165">
        <v>2020</v>
      </c>
      <c r="E165">
        <v>108</v>
      </c>
    </row>
    <row r="166" spans="1:5" x14ac:dyDescent="0.3">
      <c r="A166" s="1" t="s">
        <v>10</v>
      </c>
      <c r="B166" s="1" t="s">
        <v>1</v>
      </c>
      <c r="C166" s="1" t="s">
        <v>4</v>
      </c>
      <c r="D166">
        <v>2021</v>
      </c>
      <c r="E166">
        <v>112.4</v>
      </c>
    </row>
    <row r="167" spans="1:5" x14ac:dyDescent="0.3">
      <c r="A167" s="1" t="s">
        <v>10</v>
      </c>
      <c r="B167" s="1" t="s">
        <v>1</v>
      </c>
      <c r="C167" s="1" t="s">
        <v>4</v>
      </c>
      <c r="D167">
        <v>2022</v>
      </c>
      <c r="E167">
        <v>106.9</v>
      </c>
    </row>
    <row r="168" spans="1:5" x14ac:dyDescent="0.3">
      <c r="A168" s="1" t="s">
        <v>10</v>
      </c>
      <c r="B168" s="1" t="s">
        <v>1</v>
      </c>
      <c r="C168" s="1" t="s">
        <v>4</v>
      </c>
      <c r="D168">
        <v>2023</v>
      </c>
      <c r="E168">
        <v>105.5</v>
      </c>
    </row>
    <row r="169" spans="1:5" x14ac:dyDescent="0.3">
      <c r="A169" s="1" t="s">
        <v>10</v>
      </c>
      <c r="B169" s="1" t="s">
        <v>1</v>
      </c>
      <c r="C169" s="1" t="s">
        <v>5</v>
      </c>
      <c r="D169">
        <v>2016</v>
      </c>
      <c r="E169">
        <v>103</v>
      </c>
    </row>
    <row r="170" spans="1:5" x14ac:dyDescent="0.3">
      <c r="A170" s="1" t="s">
        <v>10</v>
      </c>
      <c r="B170" s="1" t="s">
        <v>1</v>
      </c>
      <c r="C170" s="1" t="s">
        <v>5</v>
      </c>
      <c r="D170">
        <v>2017</v>
      </c>
      <c r="E170">
        <v>106.7</v>
      </c>
    </row>
    <row r="171" spans="1:5" x14ac:dyDescent="0.3">
      <c r="A171" s="1" t="s">
        <v>10</v>
      </c>
      <c r="B171" s="1" t="s">
        <v>1</v>
      </c>
      <c r="C171" s="1" t="s">
        <v>5</v>
      </c>
      <c r="D171">
        <v>2018</v>
      </c>
      <c r="E171">
        <v>109.7</v>
      </c>
    </row>
    <row r="172" spans="1:5" x14ac:dyDescent="0.3">
      <c r="A172" s="1" t="s">
        <v>10</v>
      </c>
      <c r="B172" s="1" t="s">
        <v>1</v>
      </c>
      <c r="C172" s="1" t="s">
        <v>5</v>
      </c>
      <c r="D172">
        <v>2019</v>
      </c>
      <c r="E172">
        <v>112.7</v>
      </c>
    </row>
    <row r="173" spans="1:5" x14ac:dyDescent="0.3">
      <c r="A173" s="1" t="s">
        <v>10</v>
      </c>
      <c r="B173" s="1" t="s">
        <v>1</v>
      </c>
      <c r="C173" s="1" t="s">
        <v>5</v>
      </c>
      <c r="D173">
        <v>2020</v>
      </c>
      <c r="E173">
        <v>110.5</v>
      </c>
    </row>
    <row r="174" spans="1:5" x14ac:dyDescent="0.3">
      <c r="A174" s="1" t="s">
        <v>10</v>
      </c>
      <c r="B174" s="1" t="s">
        <v>1</v>
      </c>
      <c r="C174" s="1" t="s">
        <v>5</v>
      </c>
      <c r="D174">
        <v>2021</v>
      </c>
      <c r="E174">
        <v>121.4</v>
      </c>
    </row>
    <row r="175" spans="1:5" x14ac:dyDescent="0.3">
      <c r="A175" s="1" t="s">
        <v>10</v>
      </c>
      <c r="B175" s="1" t="s">
        <v>1</v>
      </c>
      <c r="C175" s="1" t="s">
        <v>5</v>
      </c>
      <c r="D175">
        <v>2022</v>
      </c>
      <c r="E175">
        <v>125.4</v>
      </c>
    </row>
    <row r="176" spans="1:5" x14ac:dyDescent="0.3">
      <c r="A176" s="1" t="s">
        <v>10</v>
      </c>
      <c r="B176" s="1" t="s">
        <v>1</v>
      </c>
      <c r="C176" s="1" t="s">
        <v>5</v>
      </c>
      <c r="D176">
        <v>2023</v>
      </c>
      <c r="E176">
        <v>123.2</v>
      </c>
    </row>
    <row r="177" spans="1:5" x14ac:dyDescent="0.3">
      <c r="A177" s="1" t="s">
        <v>10</v>
      </c>
      <c r="B177" s="1" t="s">
        <v>1</v>
      </c>
      <c r="C177" s="1" t="s">
        <v>6</v>
      </c>
      <c r="D177">
        <v>2016</v>
      </c>
      <c r="E177">
        <v>101.5</v>
      </c>
    </row>
    <row r="178" spans="1:5" x14ac:dyDescent="0.3">
      <c r="A178" s="1" t="s">
        <v>10</v>
      </c>
      <c r="B178" s="1" t="s">
        <v>1</v>
      </c>
      <c r="C178" s="1" t="s">
        <v>6</v>
      </c>
      <c r="D178">
        <v>2017</v>
      </c>
      <c r="E178">
        <v>104.7</v>
      </c>
    </row>
    <row r="179" spans="1:5" x14ac:dyDescent="0.3">
      <c r="A179" s="1" t="s">
        <v>10</v>
      </c>
      <c r="B179" s="1" t="s">
        <v>1</v>
      </c>
      <c r="C179" s="1" t="s">
        <v>6</v>
      </c>
      <c r="D179">
        <v>2018</v>
      </c>
      <c r="E179">
        <v>107.8</v>
      </c>
    </row>
    <row r="180" spans="1:5" x14ac:dyDescent="0.3">
      <c r="A180" s="1" t="s">
        <v>10</v>
      </c>
      <c r="B180" s="1" t="s">
        <v>1</v>
      </c>
      <c r="C180" s="1" t="s">
        <v>6</v>
      </c>
      <c r="D180">
        <v>2019</v>
      </c>
      <c r="E180">
        <v>110</v>
      </c>
    </row>
    <row r="181" spans="1:5" x14ac:dyDescent="0.3">
      <c r="A181" s="1" t="s">
        <v>10</v>
      </c>
      <c r="B181" s="1" t="s">
        <v>1</v>
      </c>
      <c r="C181" s="1" t="s">
        <v>6</v>
      </c>
      <c r="D181">
        <v>2020</v>
      </c>
      <c r="E181">
        <v>112.7</v>
      </c>
    </row>
    <row r="182" spans="1:5" x14ac:dyDescent="0.3">
      <c r="A182" s="1" t="s">
        <v>10</v>
      </c>
      <c r="B182" s="1" t="s">
        <v>1</v>
      </c>
      <c r="C182" s="1" t="s">
        <v>6</v>
      </c>
      <c r="D182">
        <v>2021</v>
      </c>
      <c r="E182">
        <v>115.8</v>
      </c>
    </row>
    <row r="183" spans="1:5" x14ac:dyDescent="0.3">
      <c r="A183" s="1" t="s">
        <v>10</v>
      </c>
      <c r="B183" s="1" t="s">
        <v>1</v>
      </c>
      <c r="C183" s="1" t="s">
        <v>6</v>
      </c>
      <c r="D183">
        <v>2022</v>
      </c>
      <c r="E183">
        <v>116.2</v>
      </c>
    </row>
    <row r="184" spans="1:5" x14ac:dyDescent="0.3">
      <c r="A184" s="1" t="s">
        <v>10</v>
      </c>
      <c r="B184" s="1" t="s">
        <v>1</v>
      </c>
      <c r="C184" s="1" t="s">
        <v>6</v>
      </c>
      <c r="D184">
        <v>2023</v>
      </c>
      <c r="E184">
        <v>113.7</v>
      </c>
    </row>
    <row r="185" spans="1:5" x14ac:dyDescent="0.3">
      <c r="A185" s="1" t="s">
        <v>10</v>
      </c>
      <c r="B185" s="1" t="s">
        <v>1</v>
      </c>
      <c r="C185" s="1" t="s">
        <v>7</v>
      </c>
      <c r="D185">
        <v>2016</v>
      </c>
      <c r="E185">
        <v>102.2</v>
      </c>
    </row>
    <row r="186" spans="1:5" x14ac:dyDescent="0.3">
      <c r="A186" s="1" t="s">
        <v>10</v>
      </c>
      <c r="B186" s="1" t="s">
        <v>1</v>
      </c>
      <c r="C186" s="1" t="s">
        <v>7</v>
      </c>
      <c r="D186">
        <v>2017</v>
      </c>
      <c r="E186">
        <v>104.1</v>
      </c>
    </row>
    <row r="187" spans="1:5" x14ac:dyDescent="0.3">
      <c r="A187" s="1" t="s">
        <v>10</v>
      </c>
      <c r="B187" s="1" t="s">
        <v>1</v>
      </c>
      <c r="C187" s="1" t="s">
        <v>7</v>
      </c>
      <c r="D187">
        <v>2018</v>
      </c>
      <c r="E187">
        <v>105.6</v>
      </c>
    </row>
    <row r="188" spans="1:5" x14ac:dyDescent="0.3">
      <c r="A188" s="1" t="s">
        <v>10</v>
      </c>
      <c r="B188" s="1" t="s">
        <v>1</v>
      </c>
      <c r="C188" s="1" t="s">
        <v>7</v>
      </c>
      <c r="D188">
        <v>2019</v>
      </c>
      <c r="E188">
        <v>107.7</v>
      </c>
    </row>
    <row r="189" spans="1:5" x14ac:dyDescent="0.3">
      <c r="A189" s="1" t="s">
        <v>10</v>
      </c>
      <c r="B189" s="1" t="s">
        <v>1</v>
      </c>
      <c r="C189" s="1" t="s">
        <v>7</v>
      </c>
      <c r="D189">
        <v>2020</v>
      </c>
      <c r="E189">
        <v>108.3</v>
      </c>
    </row>
    <row r="190" spans="1:5" x14ac:dyDescent="0.3">
      <c r="A190" s="1" t="s">
        <v>10</v>
      </c>
      <c r="B190" s="1" t="s">
        <v>1</v>
      </c>
      <c r="C190" s="1" t="s">
        <v>7</v>
      </c>
      <c r="D190">
        <v>2021</v>
      </c>
      <c r="E190">
        <v>115.2</v>
      </c>
    </row>
    <row r="191" spans="1:5" x14ac:dyDescent="0.3">
      <c r="A191" s="1" t="s">
        <v>10</v>
      </c>
      <c r="B191" s="1" t="s">
        <v>1</v>
      </c>
      <c r="C191" s="1" t="s">
        <v>7</v>
      </c>
      <c r="D191">
        <v>2022</v>
      </c>
      <c r="E191">
        <v>113.5</v>
      </c>
    </row>
    <row r="192" spans="1:5" x14ac:dyDescent="0.3">
      <c r="A192" s="1" t="s">
        <v>10</v>
      </c>
      <c r="B192" s="1" t="s">
        <v>1</v>
      </c>
      <c r="C192" s="1" t="s">
        <v>7</v>
      </c>
      <c r="D192">
        <v>2023</v>
      </c>
      <c r="E192">
        <v>107.6</v>
      </c>
    </row>
    <row r="193" spans="1:5" x14ac:dyDescent="0.3">
      <c r="A193" s="1" t="s">
        <v>10</v>
      </c>
      <c r="B193" s="1" t="s">
        <v>8</v>
      </c>
      <c r="C193" s="1" t="s">
        <v>2</v>
      </c>
      <c r="D193">
        <v>2016</v>
      </c>
      <c r="E193">
        <v>99.8</v>
      </c>
    </row>
    <row r="194" spans="1:5" x14ac:dyDescent="0.3">
      <c r="A194" s="1" t="s">
        <v>10</v>
      </c>
      <c r="B194" s="1" t="s">
        <v>8</v>
      </c>
      <c r="C194" s="1" t="s">
        <v>2</v>
      </c>
      <c r="D194">
        <v>2017</v>
      </c>
      <c r="E194">
        <v>99</v>
      </c>
    </row>
    <row r="195" spans="1:5" x14ac:dyDescent="0.3">
      <c r="A195" s="1" t="s">
        <v>10</v>
      </c>
      <c r="B195" s="1" t="s">
        <v>8</v>
      </c>
      <c r="C195" s="1" t="s">
        <v>2</v>
      </c>
      <c r="D195">
        <v>2018</v>
      </c>
      <c r="E195">
        <v>98.3</v>
      </c>
    </row>
    <row r="196" spans="1:5" x14ac:dyDescent="0.3">
      <c r="A196" s="1" t="s">
        <v>10</v>
      </c>
      <c r="B196" s="1" t="s">
        <v>8</v>
      </c>
      <c r="C196" s="1" t="s">
        <v>2</v>
      </c>
      <c r="D196">
        <v>2019</v>
      </c>
      <c r="E196">
        <v>98.1</v>
      </c>
    </row>
    <row r="197" spans="1:5" x14ac:dyDescent="0.3">
      <c r="A197" s="1" t="s">
        <v>10</v>
      </c>
      <c r="B197" s="1" t="s">
        <v>8</v>
      </c>
      <c r="C197" s="1" t="s">
        <v>2</v>
      </c>
      <c r="D197">
        <v>2020</v>
      </c>
      <c r="E197">
        <v>103.5</v>
      </c>
    </row>
    <row r="198" spans="1:5" x14ac:dyDescent="0.3">
      <c r="A198" s="1" t="s">
        <v>10</v>
      </c>
      <c r="B198" s="1" t="s">
        <v>8</v>
      </c>
      <c r="C198" s="1" t="s">
        <v>2</v>
      </c>
      <c r="D198">
        <v>2021</v>
      </c>
      <c r="E198">
        <v>102.7</v>
      </c>
    </row>
    <row r="199" spans="1:5" x14ac:dyDescent="0.3">
      <c r="A199" s="1" t="s">
        <v>10</v>
      </c>
      <c r="B199" s="1" t="s">
        <v>8</v>
      </c>
      <c r="C199" s="1" t="s">
        <v>2</v>
      </c>
      <c r="D199">
        <v>2022</v>
      </c>
      <c r="E199">
        <v>95.3</v>
      </c>
    </row>
    <row r="200" spans="1:5" x14ac:dyDescent="0.3">
      <c r="A200" s="1" t="s">
        <v>10</v>
      </c>
      <c r="B200" s="1" t="s">
        <v>8</v>
      </c>
      <c r="C200" s="1" t="s">
        <v>2</v>
      </c>
      <c r="D200">
        <v>2023</v>
      </c>
      <c r="E200">
        <v>90</v>
      </c>
    </row>
    <row r="201" spans="1:5" x14ac:dyDescent="0.3">
      <c r="A201" s="1" t="s">
        <v>10</v>
      </c>
      <c r="B201" s="1" t="s">
        <v>8</v>
      </c>
      <c r="C201" s="1" t="s">
        <v>3</v>
      </c>
      <c r="D201">
        <v>2016</v>
      </c>
      <c r="E201">
        <v>100.8</v>
      </c>
    </row>
    <row r="202" spans="1:5" x14ac:dyDescent="0.3">
      <c r="A202" s="1" t="s">
        <v>10</v>
      </c>
      <c r="B202" s="1" t="s">
        <v>8</v>
      </c>
      <c r="C202" s="1" t="s">
        <v>3</v>
      </c>
      <c r="D202">
        <v>2017</v>
      </c>
      <c r="E202">
        <v>103.2</v>
      </c>
    </row>
    <row r="203" spans="1:5" x14ac:dyDescent="0.3">
      <c r="A203" s="1" t="s">
        <v>10</v>
      </c>
      <c r="B203" s="1" t="s">
        <v>8</v>
      </c>
      <c r="C203" s="1" t="s">
        <v>3</v>
      </c>
      <c r="D203">
        <v>2018</v>
      </c>
      <c r="E203">
        <v>104.8</v>
      </c>
    </row>
    <row r="204" spans="1:5" x14ac:dyDescent="0.3">
      <c r="A204" s="1" t="s">
        <v>10</v>
      </c>
      <c r="B204" s="1" t="s">
        <v>8</v>
      </c>
      <c r="C204" s="1" t="s">
        <v>3</v>
      </c>
      <c r="D204">
        <v>2019</v>
      </c>
      <c r="E204">
        <v>106.4</v>
      </c>
    </row>
    <row r="205" spans="1:5" x14ac:dyDescent="0.3">
      <c r="A205" s="1" t="s">
        <v>10</v>
      </c>
      <c r="B205" s="1" t="s">
        <v>8</v>
      </c>
      <c r="C205" s="1" t="s">
        <v>3</v>
      </c>
      <c r="D205">
        <v>2020</v>
      </c>
      <c r="E205">
        <v>111.1</v>
      </c>
    </row>
    <row r="206" spans="1:5" x14ac:dyDescent="0.3">
      <c r="A206" s="1" t="s">
        <v>10</v>
      </c>
      <c r="B206" s="1" t="s">
        <v>8</v>
      </c>
      <c r="C206" s="1" t="s">
        <v>3</v>
      </c>
      <c r="D206">
        <v>2021</v>
      </c>
      <c r="E206">
        <v>109</v>
      </c>
    </row>
    <row r="207" spans="1:5" x14ac:dyDescent="0.3">
      <c r="A207" s="1" t="s">
        <v>10</v>
      </c>
      <c r="B207" s="1" t="s">
        <v>8</v>
      </c>
      <c r="C207" s="1" t="s">
        <v>3</v>
      </c>
      <c r="D207">
        <v>2022</v>
      </c>
      <c r="E207">
        <v>105.1</v>
      </c>
    </row>
    <row r="208" spans="1:5" x14ac:dyDescent="0.3">
      <c r="A208" s="1" t="s">
        <v>10</v>
      </c>
      <c r="B208" s="1" t="s">
        <v>8</v>
      </c>
      <c r="C208" s="1" t="s">
        <v>3</v>
      </c>
      <c r="D208">
        <v>2023</v>
      </c>
      <c r="E208">
        <v>101.6</v>
      </c>
    </row>
    <row r="209" spans="1:5" x14ac:dyDescent="0.3">
      <c r="A209" s="1" t="s">
        <v>10</v>
      </c>
      <c r="B209" s="1" t="s">
        <v>8</v>
      </c>
      <c r="C209" s="1" t="s">
        <v>4</v>
      </c>
      <c r="D209">
        <v>2016</v>
      </c>
      <c r="E209">
        <v>99.7</v>
      </c>
    </row>
    <row r="210" spans="1:5" x14ac:dyDescent="0.3">
      <c r="A210" s="1" t="s">
        <v>10</v>
      </c>
      <c r="B210" s="1" t="s">
        <v>8</v>
      </c>
      <c r="C210" s="1" t="s">
        <v>4</v>
      </c>
      <c r="D210">
        <v>2017</v>
      </c>
      <c r="E210">
        <v>98.6</v>
      </c>
    </row>
    <row r="211" spans="1:5" x14ac:dyDescent="0.3">
      <c r="A211" s="1" t="s">
        <v>10</v>
      </c>
      <c r="B211" s="1" t="s">
        <v>8</v>
      </c>
      <c r="C211" s="1" t="s">
        <v>4</v>
      </c>
      <c r="D211">
        <v>2018</v>
      </c>
      <c r="E211">
        <v>99.1</v>
      </c>
    </row>
    <row r="212" spans="1:5" x14ac:dyDescent="0.3">
      <c r="A212" s="1" t="s">
        <v>10</v>
      </c>
      <c r="B212" s="1" t="s">
        <v>8</v>
      </c>
      <c r="C212" s="1" t="s">
        <v>4</v>
      </c>
      <c r="D212">
        <v>2019</v>
      </c>
      <c r="E212">
        <v>99.9</v>
      </c>
    </row>
    <row r="213" spans="1:5" x14ac:dyDescent="0.3">
      <c r="A213" s="1" t="s">
        <v>10</v>
      </c>
      <c r="B213" s="1" t="s">
        <v>8</v>
      </c>
      <c r="C213" s="1" t="s">
        <v>4</v>
      </c>
      <c r="D213">
        <v>2020</v>
      </c>
      <c r="E213">
        <v>103.6</v>
      </c>
    </row>
    <row r="214" spans="1:5" x14ac:dyDescent="0.3">
      <c r="A214" s="1" t="s">
        <v>10</v>
      </c>
      <c r="B214" s="1" t="s">
        <v>8</v>
      </c>
      <c r="C214" s="1" t="s">
        <v>4</v>
      </c>
      <c r="D214">
        <v>2021</v>
      </c>
      <c r="E214">
        <v>103.5</v>
      </c>
    </row>
    <row r="215" spans="1:5" x14ac:dyDescent="0.3">
      <c r="A215" s="1" t="s">
        <v>10</v>
      </c>
      <c r="B215" s="1" t="s">
        <v>8</v>
      </c>
      <c r="C215" s="1" t="s">
        <v>4</v>
      </c>
      <c r="D215">
        <v>2022</v>
      </c>
      <c r="E215">
        <v>96.7</v>
      </c>
    </row>
    <row r="216" spans="1:5" x14ac:dyDescent="0.3">
      <c r="A216" s="1" t="s">
        <v>10</v>
      </c>
      <c r="B216" s="1" t="s">
        <v>8</v>
      </c>
      <c r="C216" s="1" t="s">
        <v>4</v>
      </c>
      <c r="D216">
        <v>2023</v>
      </c>
      <c r="E216">
        <v>94.7</v>
      </c>
    </row>
    <row r="217" spans="1:5" x14ac:dyDescent="0.3">
      <c r="A217" s="1" t="s">
        <v>10</v>
      </c>
      <c r="B217" s="1" t="s">
        <v>8</v>
      </c>
      <c r="C217" s="1" t="s">
        <v>5</v>
      </c>
      <c r="D217">
        <v>2016</v>
      </c>
      <c r="E217">
        <v>101.7</v>
      </c>
    </row>
    <row r="218" spans="1:5" x14ac:dyDescent="0.3">
      <c r="A218" s="1" t="s">
        <v>10</v>
      </c>
      <c r="B218" s="1" t="s">
        <v>8</v>
      </c>
      <c r="C218" s="1" t="s">
        <v>5</v>
      </c>
      <c r="D218">
        <v>2017</v>
      </c>
      <c r="E218">
        <v>105</v>
      </c>
    </row>
    <row r="219" spans="1:5" x14ac:dyDescent="0.3">
      <c r="A219" s="1" t="s">
        <v>10</v>
      </c>
      <c r="B219" s="1" t="s">
        <v>8</v>
      </c>
      <c r="C219" s="1" t="s">
        <v>5</v>
      </c>
      <c r="D219">
        <v>2018</v>
      </c>
      <c r="E219">
        <v>108.7</v>
      </c>
    </row>
    <row r="220" spans="1:5" x14ac:dyDescent="0.3">
      <c r="A220" s="1" t="s">
        <v>10</v>
      </c>
      <c r="B220" s="1" t="s">
        <v>8</v>
      </c>
      <c r="C220" s="1" t="s">
        <v>5</v>
      </c>
      <c r="D220">
        <v>2019</v>
      </c>
      <c r="E220">
        <v>109.4</v>
      </c>
    </row>
    <row r="221" spans="1:5" x14ac:dyDescent="0.3">
      <c r="A221" s="1" t="s">
        <v>10</v>
      </c>
      <c r="B221" s="1" t="s">
        <v>8</v>
      </c>
      <c r="C221" s="1" t="s">
        <v>5</v>
      </c>
      <c r="D221">
        <v>2020</v>
      </c>
      <c r="E221">
        <v>110.7</v>
      </c>
    </row>
    <row r="222" spans="1:5" x14ac:dyDescent="0.3">
      <c r="A222" s="1" t="s">
        <v>10</v>
      </c>
      <c r="B222" s="1" t="s">
        <v>8</v>
      </c>
      <c r="C222" s="1" t="s">
        <v>5</v>
      </c>
      <c r="D222">
        <v>2021</v>
      </c>
      <c r="E222">
        <v>116.1</v>
      </c>
    </row>
    <row r="223" spans="1:5" x14ac:dyDescent="0.3">
      <c r="A223" s="1" t="s">
        <v>10</v>
      </c>
      <c r="B223" s="1" t="s">
        <v>8</v>
      </c>
      <c r="C223" s="1" t="s">
        <v>5</v>
      </c>
      <c r="D223">
        <v>2022</v>
      </c>
      <c r="E223">
        <v>118.6</v>
      </c>
    </row>
    <row r="224" spans="1:5" x14ac:dyDescent="0.3">
      <c r="A224" s="1" t="s">
        <v>10</v>
      </c>
      <c r="B224" s="1" t="s">
        <v>8</v>
      </c>
      <c r="C224" s="1" t="s">
        <v>6</v>
      </c>
      <c r="D224">
        <v>2016</v>
      </c>
      <c r="E224">
        <v>100.3</v>
      </c>
    </row>
    <row r="225" spans="1:5" x14ac:dyDescent="0.3">
      <c r="A225" s="1" t="s">
        <v>10</v>
      </c>
      <c r="B225" s="1" t="s">
        <v>8</v>
      </c>
      <c r="C225" s="1" t="s">
        <v>6</v>
      </c>
      <c r="D225">
        <v>2017</v>
      </c>
      <c r="E225">
        <v>102</v>
      </c>
    </row>
    <row r="226" spans="1:5" x14ac:dyDescent="0.3">
      <c r="A226" s="1" t="s">
        <v>10</v>
      </c>
      <c r="B226" s="1" t="s">
        <v>8</v>
      </c>
      <c r="C226" s="1" t="s">
        <v>6</v>
      </c>
      <c r="D226">
        <v>2018</v>
      </c>
      <c r="E226">
        <v>105.1</v>
      </c>
    </row>
    <row r="227" spans="1:5" x14ac:dyDescent="0.3">
      <c r="A227" s="1" t="s">
        <v>10</v>
      </c>
      <c r="B227" s="1" t="s">
        <v>8</v>
      </c>
      <c r="C227" s="1" t="s">
        <v>6</v>
      </c>
      <c r="D227">
        <v>2019</v>
      </c>
      <c r="E227">
        <v>106</v>
      </c>
    </row>
    <row r="228" spans="1:5" x14ac:dyDescent="0.3">
      <c r="A228" s="1" t="s">
        <v>10</v>
      </c>
      <c r="B228" s="1" t="s">
        <v>8</v>
      </c>
      <c r="C228" s="1" t="s">
        <v>6</v>
      </c>
      <c r="D228">
        <v>2020</v>
      </c>
      <c r="E228">
        <v>109.2</v>
      </c>
    </row>
    <row r="229" spans="1:5" x14ac:dyDescent="0.3">
      <c r="A229" s="1" t="s">
        <v>10</v>
      </c>
      <c r="B229" s="1" t="s">
        <v>8</v>
      </c>
      <c r="C229" s="1" t="s">
        <v>6</v>
      </c>
      <c r="D229">
        <v>2021</v>
      </c>
      <c r="E229">
        <v>108.5</v>
      </c>
    </row>
    <row r="230" spans="1:5" x14ac:dyDescent="0.3">
      <c r="A230" s="1" t="s">
        <v>10</v>
      </c>
      <c r="B230" s="1" t="s">
        <v>8</v>
      </c>
      <c r="C230" s="1" t="s">
        <v>6</v>
      </c>
      <c r="D230">
        <v>2022</v>
      </c>
      <c r="E230">
        <v>106.1</v>
      </c>
    </row>
    <row r="231" spans="1:5" x14ac:dyDescent="0.3">
      <c r="A231" s="1" t="s">
        <v>10</v>
      </c>
      <c r="B231" s="1" t="s">
        <v>8</v>
      </c>
      <c r="C231" s="1" t="s">
        <v>6</v>
      </c>
      <c r="D231">
        <v>2023</v>
      </c>
      <c r="E231">
        <v>103.9</v>
      </c>
    </row>
    <row r="232" spans="1:5" x14ac:dyDescent="0.3">
      <c r="A232" s="1" t="s">
        <v>10</v>
      </c>
      <c r="B232" s="1" t="s">
        <v>8</v>
      </c>
      <c r="C232" s="1" t="s">
        <v>7</v>
      </c>
      <c r="D232">
        <v>2016</v>
      </c>
      <c r="E232">
        <v>101</v>
      </c>
    </row>
    <row r="233" spans="1:5" x14ac:dyDescent="0.3">
      <c r="A233" s="1" t="s">
        <v>10</v>
      </c>
      <c r="B233" s="1" t="s">
        <v>8</v>
      </c>
      <c r="C233" s="1" t="s">
        <v>7</v>
      </c>
      <c r="D233">
        <v>2017</v>
      </c>
      <c r="E233">
        <v>101.3</v>
      </c>
    </row>
    <row r="234" spans="1:5" x14ac:dyDescent="0.3">
      <c r="A234" s="1" t="s">
        <v>10</v>
      </c>
      <c r="B234" s="1" t="s">
        <v>8</v>
      </c>
      <c r="C234" s="1" t="s">
        <v>7</v>
      </c>
      <c r="D234">
        <v>2018</v>
      </c>
      <c r="E234">
        <v>102.7</v>
      </c>
    </row>
    <row r="235" spans="1:5" x14ac:dyDescent="0.3">
      <c r="A235" s="1" t="s">
        <v>10</v>
      </c>
      <c r="B235" s="1" t="s">
        <v>8</v>
      </c>
      <c r="C235" s="1" t="s">
        <v>7</v>
      </c>
      <c r="D235">
        <v>2019</v>
      </c>
      <c r="E235">
        <v>103.8</v>
      </c>
    </row>
    <row r="236" spans="1:5" x14ac:dyDescent="0.3">
      <c r="A236" s="1" t="s">
        <v>10</v>
      </c>
      <c r="B236" s="1" t="s">
        <v>8</v>
      </c>
      <c r="C236" s="1" t="s">
        <v>7</v>
      </c>
      <c r="D236">
        <v>2020</v>
      </c>
      <c r="E236">
        <v>104.8</v>
      </c>
    </row>
    <row r="237" spans="1:5" x14ac:dyDescent="0.3">
      <c r="A237" s="1" t="s">
        <v>10</v>
      </c>
      <c r="B237" s="1" t="s">
        <v>8</v>
      </c>
      <c r="C237" s="1" t="s">
        <v>7</v>
      </c>
      <c r="D237">
        <v>2021</v>
      </c>
      <c r="E237">
        <v>107.2</v>
      </c>
    </row>
    <row r="238" spans="1:5" x14ac:dyDescent="0.3">
      <c r="A238" s="1" t="s">
        <v>10</v>
      </c>
      <c r="B238" s="1" t="s">
        <v>8</v>
      </c>
      <c r="C238" s="1" t="s">
        <v>7</v>
      </c>
      <c r="D238">
        <v>2022</v>
      </c>
      <c r="E238">
        <v>105.1</v>
      </c>
    </row>
    <row r="239" spans="1:5" x14ac:dyDescent="0.3">
      <c r="A239" s="1" t="s">
        <v>10</v>
      </c>
      <c r="B239" s="1" t="s">
        <v>8</v>
      </c>
      <c r="C239" s="1" t="s">
        <v>7</v>
      </c>
      <c r="D239">
        <v>2023</v>
      </c>
      <c r="E239">
        <v>101.2</v>
      </c>
    </row>
    <row r="240" spans="1:5" x14ac:dyDescent="0.3">
      <c r="A240" s="1" t="s">
        <v>10</v>
      </c>
      <c r="B240" s="1" t="s">
        <v>9</v>
      </c>
      <c r="C240" s="1" t="s">
        <v>2</v>
      </c>
      <c r="D240">
        <v>2016</v>
      </c>
      <c r="E240">
        <v>99.4</v>
      </c>
    </row>
    <row r="241" spans="1:5" x14ac:dyDescent="0.3">
      <c r="A241" s="1" t="s">
        <v>10</v>
      </c>
      <c r="B241" s="1" t="s">
        <v>9</v>
      </c>
      <c r="C241" s="1" t="s">
        <v>2</v>
      </c>
      <c r="D241">
        <v>2017</v>
      </c>
      <c r="E241">
        <v>98.4</v>
      </c>
    </row>
    <row r="242" spans="1:5" x14ac:dyDescent="0.3">
      <c r="A242" s="1" t="s">
        <v>10</v>
      </c>
      <c r="B242" s="1" t="s">
        <v>9</v>
      </c>
      <c r="C242" s="1" t="s">
        <v>2</v>
      </c>
      <c r="D242">
        <v>2018</v>
      </c>
      <c r="E242">
        <v>97.7</v>
      </c>
    </row>
    <row r="243" spans="1:5" x14ac:dyDescent="0.3">
      <c r="A243" s="1" t="s">
        <v>10</v>
      </c>
      <c r="B243" s="1" t="s">
        <v>9</v>
      </c>
      <c r="C243" s="1" t="s">
        <v>2</v>
      </c>
      <c r="D243">
        <v>2019</v>
      </c>
      <c r="E243">
        <v>97.3</v>
      </c>
    </row>
    <row r="244" spans="1:5" x14ac:dyDescent="0.3">
      <c r="A244" s="1" t="s">
        <v>10</v>
      </c>
      <c r="B244" s="1" t="s">
        <v>9</v>
      </c>
      <c r="C244" s="1" t="s">
        <v>2</v>
      </c>
      <c r="D244">
        <v>2020</v>
      </c>
      <c r="E244">
        <v>102.9</v>
      </c>
    </row>
    <row r="245" spans="1:5" x14ac:dyDescent="0.3">
      <c r="A245" s="1" t="s">
        <v>10</v>
      </c>
      <c r="B245" s="1" t="s">
        <v>9</v>
      </c>
      <c r="C245" s="1" t="s">
        <v>2</v>
      </c>
      <c r="D245">
        <v>2021</v>
      </c>
      <c r="E245">
        <v>101.2</v>
      </c>
    </row>
    <row r="246" spans="1:5" x14ac:dyDescent="0.3">
      <c r="A246" s="1" t="s">
        <v>10</v>
      </c>
      <c r="B246" s="1" t="s">
        <v>9</v>
      </c>
      <c r="C246" s="1" t="s">
        <v>2</v>
      </c>
      <c r="D246">
        <v>2022</v>
      </c>
      <c r="E246">
        <v>93.7</v>
      </c>
    </row>
    <row r="247" spans="1:5" x14ac:dyDescent="0.3">
      <c r="A247" s="1" t="s">
        <v>10</v>
      </c>
      <c r="B247" s="1" t="s">
        <v>9</v>
      </c>
      <c r="C247" s="1" t="s">
        <v>2</v>
      </c>
      <c r="D247">
        <v>2023</v>
      </c>
      <c r="E247">
        <v>87.6</v>
      </c>
    </row>
    <row r="248" spans="1:5" x14ac:dyDescent="0.3">
      <c r="A248" s="1" t="s">
        <v>10</v>
      </c>
      <c r="B248" s="1" t="s">
        <v>9</v>
      </c>
      <c r="C248" s="1" t="s">
        <v>3</v>
      </c>
      <c r="D248">
        <v>2016</v>
      </c>
      <c r="E248">
        <v>100.8</v>
      </c>
    </row>
    <row r="249" spans="1:5" x14ac:dyDescent="0.3">
      <c r="A249" s="1" t="s">
        <v>10</v>
      </c>
      <c r="B249" s="1" t="s">
        <v>9</v>
      </c>
      <c r="C249" s="1" t="s">
        <v>3</v>
      </c>
      <c r="D249">
        <v>2017</v>
      </c>
      <c r="E249">
        <v>102.9</v>
      </c>
    </row>
    <row r="250" spans="1:5" x14ac:dyDescent="0.3">
      <c r="A250" s="1" t="s">
        <v>10</v>
      </c>
      <c r="B250" s="1" t="s">
        <v>9</v>
      </c>
      <c r="C250" s="1" t="s">
        <v>3</v>
      </c>
      <c r="D250">
        <v>2018</v>
      </c>
      <c r="E250">
        <v>104.5</v>
      </c>
    </row>
    <row r="251" spans="1:5" x14ac:dyDescent="0.3">
      <c r="A251" s="1" t="s">
        <v>10</v>
      </c>
      <c r="B251" s="1" t="s">
        <v>9</v>
      </c>
      <c r="C251" s="1" t="s">
        <v>3</v>
      </c>
      <c r="D251">
        <v>2019</v>
      </c>
      <c r="E251">
        <v>106.1</v>
      </c>
    </row>
    <row r="252" spans="1:5" x14ac:dyDescent="0.3">
      <c r="A252" s="1" t="s">
        <v>10</v>
      </c>
      <c r="B252" s="1" t="s">
        <v>9</v>
      </c>
      <c r="C252" s="1" t="s">
        <v>3</v>
      </c>
      <c r="D252">
        <v>2020</v>
      </c>
      <c r="E252">
        <v>111.7</v>
      </c>
    </row>
    <row r="253" spans="1:5" x14ac:dyDescent="0.3">
      <c r="A253" s="1" t="s">
        <v>10</v>
      </c>
      <c r="B253" s="1" t="s">
        <v>9</v>
      </c>
      <c r="C253" s="1" t="s">
        <v>3</v>
      </c>
      <c r="D253">
        <v>2021</v>
      </c>
      <c r="E253">
        <v>109.9</v>
      </c>
    </row>
    <row r="254" spans="1:5" x14ac:dyDescent="0.3">
      <c r="A254" s="1" t="s">
        <v>10</v>
      </c>
      <c r="B254" s="1" t="s">
        <v>9</v>
      </c>
      <c r="C254" s="1" t="s">
        <v>3</v>
      </c>
      <c r="D254">
        <v>2022</v>
      </c>
      <c r="E254">
        <v>104.6</v>
      </c>
    </row>
    <row r="255" spans="1:5" x14ac:dyDescent="0.3">
      <c r="A255" s="1" t="s">
        <v>10</v>
      </c>
      <c r="B255" s="1" t="s">
        <v>9</v>
      </c>
      <c r="C255" s="1" t="s">
        <v>3</v>
      </c>
      <c r="D255">
        <v>2023</v>
      </c>
      <c r="E255">
        <v>100.9</v>
      </c>
    </row>
    <row r="256" spans="1:5" x14ac:dyDescent="0.3">
      <c r="A256" s="1" t="s">
        <v>10</v>
      </c>
      <c r="B256" s="1" t="s">
        <v>9</v>
      </c>
      <c r="C256" s="1" t="s">
        <v>4</v>
      </c>
      <c r="D256">
        <v>2016</v>
      </c>
      <c r="E256">
        <v>100.8</v>
      </c>
    </row>
    <row r="257" spans="1:5" x14ac:dyDescent="0.3">
      <c r="A257" s="1" t="s">
        <v>10</v>
      </c>
      <c r="B257" s="1" t="s">
        <v>9</v>
      </c>
      <c r="C257" s="1" t="s">
        <v>4</v>
      </c>
      <c r="D257">
        <v>2017</v>
      </c>
      <c r="E257">
        <v>98.9</v>
      </c>
    </row>
    <row r="258" spans="1:5" x14ac:dyDescent="0.3">
      <c r="A258" s="1" t="s">
        <v>10</v>
      </c>
      <c r="B258" s="1" t="s">
        <v>9</v>
      </c>
      <c r="C258" s="1" t="s">
        <v>4</v>
      </c>
      <c r="D258">
        <v>2018</v>
      </c>
      <c r="E258">
        <v>98.9</v>
      </c>
    </row>
    <row r="259" spans="1:5" x14ac:dyDescent="0.3">
      <c r="A259" s="1" t="s">
        <v>10</v>
      </c>
      <c r="B259" s="1" t="s">
        <v>9</v>
      </c>
      <c r="C259" s="1" t="s">
        <v>4</v>
      </c>
      <c r="D259">
        <v>2019</v>
      </c>
      <c r="E259">
        <v>107.9</v>
      </c>
    </row>
    <row r="260" spans="1:5" x14ac:dyDescent="0.3">
      <c r="A260" s="1" t="s">
        <v>10</v>
      </c>
      <c r="B260" s="1" t="s">
        <v>9</v>
      </c>
      <c r="C260" s="1" t="s">
        <v>4</v>
      </c>
      <c r="D260">
        <v>2020</v>
      </c>
      <c r="E260">
        <v>111.4</v>
      </c>
    </row>
    <row r="261" spans="1:5" x14ac:dyDescent="0.3">
      <c r="A261" s="1" t="s">
        <v>10</v>
      </c>
      <c r="B261" s="1" t="s">
        <v>9</v>
      </c>
      <c r="C261" s="1" t="s">
        <v>4</v>
      </c>
      <c r="D261">
        <v>2021</v>
      </c>
      <c r="E261">
        <v>109.4</v>
      </c>
    </row>
    <row r="262" spans="1:5" x14ac:dyDescent="0.3">
      <c r="A262" s="1" t="s">
        <v>10</v>
      </c>
      <c r="B262" s="1" t="s">
        <v>9</v>
      </c>
      <c r="C262" s="1" t="s">
        <v>4</v>
      </c>
      <c r="D262">
        <v>2022</v>
      </c>
      <c r="E262">
        <v>99.1</v>
      </c>
    </row>
    <row r="263" spans="1:5" x14ac:dyDescent="0.3">
      <c r="A263" s="1" t="s">
        <v>10</v>
      </c>
      <c r="B263" s="1" t="s">
        <v>9</v>
      </c>
      <c r="C263" s="1" t="s">
        <v>4</v>
      </c>
      <c r="D263">
        <v>2023</v>
      </c>
      <c r="E263">
        <v>94.9</v>
      </c>
    </row>
    <row r="264" spans="1:5" x14ac:dyDescent="0.3">
      <c r="A264" s="1" t="s">
        <v>10</v>
      </c>
      <c r="B264" s="1" t="s">
        <v>9</v>
      </c>
      <c r="C264" s="1" t="s">
        <v>5</v>
      </c>
      <c r="D264">
        <v>2016</v>
      </c>
      <c r="E264">
        <v>102.4</v>
      </c>
    </row>
    <row r="265" spans="1:5" x14ac:dyDescent="0.3">
      <c r="A265" s="1" t="s">
        <v>10</v>
      </c>
      <c r="B265" s="1" t="s">
        <v>9</v>
      </c>
      <c r="C265" s="1" t="s">
        <v>5</v>
      </c>
      <c r="D265">
        <v>2017</v>
      </c>
      <c r="E265">
        <v>105.7</v>
      </c>
    </row>
    <row r="266" spans="1:5" x14ac:dyDescent="0.3">
      <c r="A266" s="1" t="s">
        <v>10</v>
      </c>
      <c r="B266" s="1" t="s">
        <v>9</v>
      </c>
      <c r="C266" s="1" t="s">
        <v>5</v>
      </c>
      <c r="D266">
        <v>2018</v>
      </c>
      <c r="E266">
        <v>109.4</v>
      </c>
    </row>
    <row r="267" spans="1:5" x14ac:dyDescent="0.3">
      <c r="A267" s="1" t="s">
        <v>10</v>
      </c>
      <c r="B267" s="1" t="s">
        <v>9</v>
      </c>
      <c r="C267" s="1" t="s">
        <v>5</v>
      </c>
      <c r="D267">
        <v>2019</v>
      </c>
      <c r="E267">
        <v>110</v>
      </c>
    </row>
    <row r="268" spans="1:5" x14ac:dyDescent="0.3">
      <c r="A268" s="1" t="s">
        <v>10</v>
      </c>
      <c r="B268" s="1" t="s">
        <v>9</v>
      </c>
      <c r="C268" s="1" t="s">
        <v>5</v>
      </c>
      <c r="D268">
        <v>2020</v>
      </c>
      <c r="E268">
        <v>113.5</v>
      </c>
    </row>
    <row r="269" spans="1:5" x14ac:dyDescent="0.3">
      <c r="A269" s="1" t="s">
        <v>10</v>
      </c>
      <c r="B269" s="1" t="s">
        <v>9</v>
      </c>
      <c r="C269" s="1" t="s">
        <v>5</v>
      </c>
      <c r="D269">
        <v>2021</v>
      </c>
      <c r="E269">
        <v>118.9</v>
      </c>
    </row>
    <row r="270" spans="1:5" x14ac:dyDescent="0.3">
      <c r="A270" s="1" t="s">
        <v>10</v>
      </c>
      <c r="B270" s="1" t="s">
        <v>9</v>
      </c>
      <c r="C270" s="1" t="s">
        <v>5</v>
      </c>
      <c r="D270">
        <v>2022</v>
      </c>
      <c r="E270">
        <v>119.6</v>
      </c>
    </row>
    <row r="271" spans="1:5" x14ac:dyDescent="0.3">
      <c r="A271" s="1" t="s">
        <v>10</v>
      </c>
      <c r="B271" s="1" t="s">
        <v>9</v>
      </c>
      <c r="C271" s="1" t="s">
        <v>5</v>
      </c>
      <c r="D271">
        <v>2023</v>
      </c>
      <c r="E271">
        <v>114.4</v>
      </c>
    </row>
    <row r="272" spans="1:5" x14ac:dyDescent="0.3">
      <c r="A272" s="1" t="s">
        <v>10</v>
      </c>
      <c r="B272" s="1" t="s">
        <v>9</v>
      </c>
      <c r="C272" s="1" t="s">
        <v>6</v>
      </c>
      <c r="D272">
        <v>2016</v>
      </c>
      <c r="E272">
        <v>100.7</v>
      </c>
    </row>
    <row r="273" spans="1:5" x14ac:dyDescent="0.3">
      <c r="A273" s="1" t="s">
        <v>10</v>
      </c>
      <c r="B273" s="1" t="s">
        <v>9</v>
      </c>
      <c r="C273" s="1" t="s">
        <v>6</v>
      </c>
      <c r="D273">
        <v>2017</v>
      </c>
      <c r="E273">
        <v>101.7</v>
      </c>
    </row>
    <row r="274" spans="1:5" x14ac:dyDescent="0.3">
      <c r="A274" s="1" t="s">
        <v>10</v>
      </c>
      <c r="B274" s="1" t="s">
        <v>9</v>
      </c>
      <c r="C274" s="1" t="s">
        <v>6</v>
      </c>
      <c r="D274">
        <v>2018</v>
      </c>
      <c r="E274">
        <v>104</v>
      </c>
    </row>
    <row r="275" spans="1:5" x14ac:dyDescent="0.3">
      <c r="A275" s="1" t="s">
        <v>10</v>
      </c>
      <c r="B275" s="1" t="s">
        <v>9</v>
      </c>
      <c r="C275" s="1" t="s">
        <v>6</v>
      </c>
      <c r="D275">
        <v>2019</v>
      </c>
      <c r="E275">
        <v>104.2</v>
      </c>
    </row>
    <row r="276" spans="1:5" x14ac:dyDescent="0.3">
      <c r="A276" s="1" t="s">
        <v>10</v>
      </c>
      <c r="B276" s="1" t="s">
        <v>9</v>
      </c>
      <c r="C276" s="1" t="s">
        <v>6</v>
      </c>
      <c r="D276">
        <v>2020</v>
      </c>
      <c r="E276">
        <v>108.7</v>
      </c>
    </row>
    <row r="277" spans="1:5" x14ac:dyDescent="0.3">
      <c r="A277" s="1" t="s">
        <v>10</v>
      </c>
      <c r="B277" s="1" t="s">
        <v>9</v>
      </c>
      <c r="C277" s="1" t="s">
        <v>6</v>
      </c>
      <c r="D277">
        <v>2021</v>
      </c>
      <c r="E277">
        <v>109.1</v>
      </c>
    </row>
    <row r="278" spans="1:5" x14ac:dyDescent="0.3">
      <c r="A278" s="1" t="s">
        <v>10</v>
      </c>
      <c r="B278" s="1" t="s">
        <v>9</v>
      </c>
      <c r="C278" s="1" t="s">
        <v>6</v>
      </c>
      <c r="D278">
        <v>2022</v>
      </c>
      <c r="E278">
        <v>104</v>
      </c>
    </row>
    <row r="279" spans="1:5" x14ac:dyDescent="0.3">
      <c r="A279" s="1" t="s">
        <v>10</v>
      </c>
      <c r="B279" s="1" t="s">
        <v>9</v>
      </c>
      <c r="C279" s="1" t="s">
        <v>6</v>
      </c>
      <c r="D279">
        <v>2023</v>
      </c>
      <c r="E279">
        <v>100.9</v>
      </c>
    </row>
    <row r="280" spans="1:5" x14ac:dyDescent="0.3">
      <c r="A280" s="1" t="s">
        <v>10</v>
      </c>
      <c r="B280" s="1" t="s">
        <v>9</v>
      </c>
      <c r="C280" s="1" t="s">
        <v>7</v>
      </c>
      <c r="D280">
        <v>2016</v>
      </c>
      <c r="E280">
        <v>100.8</v>
      </c>
    </row>
    <row r="281" spans="1:5" x14ac:dyDescent="0.3">
      <c r="A281" s="1" t="s">
        <v>10</v>
      </c>
      <c r="B281" s="1" t="s">
        <v>9</v>
      </c>
      <c r="C281" s="1" t="s">
        <v>7</v>
      </c>
      <c r="D281">
        <v>2017</v>
      </c>
      <c r="E281">
        <v>101.3</v>
      </c>
    </row>
    <row r="282" spans="1:5" x14ac:dyDescent="0.3">
      <c r="A282" s="1" t="s">
        <v>10</v>
      </c>
      <c r="B282" s="1" t="s">
        <v>9</v>
      </c>
      <c r="C282" s="1" t="s">
        <v>7</v>
      </c>
      <c r="D282">
        <v>2018</v>
      </c>
      <c r="E282">
        <v>102.6</v>
      </c>
    </row>
    <row r="283" spans="1:5" x14ac:dyDescent="0.3">
      <c r="A283" s="1" t="s">
        <v>10</v>
      </c>
      <c r="B283" s="1" t="s">
        <v>9</v>
      </c>
      <c r="C283" s="1" t="s">
        <v>7</v>
      </c>
      <c r="D283">
        <v>2019</v>
      </c>
      <c r="E283">
        <v>103.7</v>
      </c>
    </row>
    <row r="284" spans="1:5" x14ac:dyDescent="0.3">
      <c r="A284" s="1" t="s">
        <v>10</v>
      </c>
      <c r="B284" s="1" t="s">
        <v>9</v>
      </c>
      <c r="C284" s="1" t="s">
        <v>7</v>
      </c>
      <c r="D284">
        <v>2020</v>
      </c>
      <c r="E284">
        <v>105.4</v>
      </c>
    </row>
    <row r="285" spans="1:5" x14ac:dyDescent="0.3">
      <c r="A285" s="1" t="s">
        <v>10</v>
      </c>
      <c r="B285" s="1" t="s">
        <v>9</v>
      </c>
      <c r="C285" s="1" t="s">
        <v>7</v>
      </c>
      <c r="D285">
        <v>2021</v>
      </c>
      <c r="E285">
        <v>107.2</v>
      </c>
    </row>
    <row r="286" spans="1:5" x14ac:dyDescent="0.3">
      <c r="A286" s="1" t="s">
        <v>10</v>
      </c>
      <c r="B286" s="1" t="s">
        <v>9</v>
      </c>
      <c r="C286" s="1" t="s">
        <v>7</v>
      </c>
      <c r="D286">
        <v>2022</v>
      </c>
      <c r="E286">
        <v>105.2</v>
      </c>
    </row>
    <row r="287" spans="1:5" x14ac:dyDescent="0.3">
      <c r="A287" s="1" t="s">
        <v>10</v>
      </c>
      <c r="B287" s="1" t="s">
        <v>9</v>
      </c>
      <c r="C287" s="1" t="s">
        <v>7</v>
      </c>
      <c r="D287">
        <v>2023</v>
      </c>
      <c r="E287">
        <v>101.1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6B8E-5BB8-4480-8F72-219CDA594D89}">
  <dimension ref="A1:D49"/>
  <sheetViews>
    <sheetView workbookViewId="0"/>
  </sheetViews>
  <sheetFormatPr defaultRowHeight="14.4" x14ac:dyDescent="0.3"/>
  <cols>
    <col min="1" max="1" width="10.77734375" bestFit="1" customWidth="1"/>
    <col min="2" max="2" width="10" bestFit="1" customWidth="1"/>
    <col min="3" max="3" width="6.88671875" bestFit="1" customWidth="1"/>
    <col min="4" max="4" width="11.21875" bestFit="1" customWidth="1"/>
    <col min="5" max="5" width="8.77734375" bestFit="1" customWidth="1"/>
    <col min="6" max="6" width="6.33203125" bestFit="1" customWidth="1"/>
    <col min="7" max="7" width="14.88671875" bestFit="1" customWidth="1"/>
    <col min="8" max="8" width="13.33203125" bestFit="1" customWidth="1"/>
  </cols>
  <sheetData>
    <row r="1" spans="1:4" x14ac:dyDescent="0.3">
      <c r="A1" t="s">
        <v>17</v>
      </c>
      <c r="B1" t="s">
        <v>14</v>
      </c>
      <c r="C1" t="s">
        <v>15</v>
      </c>
      <c r="D1" t="s">
        <v>18</v>
      </c>
    </row>
    <row r="2" spans="1:4" x14ac:dyDescent="0.3">
      <c r="A2" s="1" t="s">
        <v>11</v>
      </c>
      <c r="B2" s="1" t="s">
        <v>2</v>
      </c>
      <c r="C2">
        <v>2015</v>
      </c>
      <c r="D2">
        <v>12.9</v>
      </c>
    </row>
    <row r="3" spans="1:4" x14ac:dyDescent="0.3">
      <c r="A3" s="1" t="s">
        <v>11</v>
      </c>
      <c r="B3" s="1" t="s">
        <v>2</v>
      </c>
      <c r="C3">
        <v>2016</v>
      </c>
      <c r="D3">
        <v>13</v>
      </c>
    </row>
    <row r="4" spans="1:4" x14ac:dyDescent="0.3">
      <c r="A4" s="1" t="s">
        <v>11</v>
      </c>
      <c r="B4" s="1" t="s">
        <v>2</v>
      </c>
      <c r="C4">
        <v>2017</v>
      </c>
      <c r="D4">
        <v>12.8</v>
      </c>
    </row>
    <row r="5" spans="1:4" x14ac:dyDescent="0.3">
      <c r="A5" s="1" t="s">
        <v>11</v>
      </c>
      <c r="B5" s="1" t="s">
        <v>2</v>
      </c>
      <c r="C5">
        <v>2018</v>
      </c>
      <c r="D5">
        <v>12.7</v>
      </c>
    </row>
    <row r="6" spans="1:4" x14ac:dyDescent="0.3">
      <c r="A6" s="1" t="s">
        <v>11</v>
      </c>
      <c r="B6" s="1" t="s">
        <v>2</v>
      </c>
      <c r="C6">
        <v>2019</v>
      </c>
      <c r="D6">
        <v>12.7</v>
      </c>
    </row>
    <row r="7" spans="1:4" x14ac:dyDescent="0.3">
      <c r="A7" s="1" t="s">
        <v>11</v>
      </c>
      <c r="B7" s="1" t="s">
        <v>2</v>
      </c>
      <c r="C7">
        <v>2020</v>
      </c>
      <c r="D7">
        <v>14.2</v>
      </c>
    </row>
    <row r="8" spans="1:4" x14ac:dyDescent="0.3">
      <c r="A8" s="1" t="s">
        <v>11</v>
      </c>
      <c r="B8" s="1" t="s">
        <v>2</v>
      </c>
      <c r="C8">
        <v>2021</v>
      </c>
      <c r="D8">
        <v>13.3</v>
      </c>
    </row>
    <row r="9" spans="1:4" x14ac:dyDescent="0.3">
      <c r="A9" s="1" t="s">
        <v>11</v>
      </c>
      <c r="B9" s="1" t="s">
        <v>2</v>
      </c>
      <c r="C9">
        <v>2022</v>
      </c>
      <c r="D9">
        <v>12.2</v>
      </c>
    </row>
    <row r="10" spans="1:4" x14ac:dyDescent="0.3">
      <c r="A10" s="1" t="s">
        <v>11</v>
      </c>
      <c r="B10" s="1" t="s">
        <v>3</v>
      </c>
      <c r="C10">
        <v>2015</v>
      </c>
      <c r="D10">
        <v>10.6</v>
      </c>
    </row>
    <row r="11" spans="1:4" x14ac:dyDescent="0.3">
      <c r="A11" s="1" t="s">
        <v>11</v>
      </c>
      <c r="B11" s="1" t="s">
        <v>3</v>
      </c>
      <c r="C11">
        <v>2016</v>
      </c>
      <c r="D11">
        <v>10.6</v>
      </c>
    </row>
    <row r="12" spans="1:4" x14ac:dyDescent="0.3">
      <c r="A12" s="1" t="s">
        <v>11</v>
      </c>
      <c r="B12" s="1" t="s">
        <v>3</v>
      </c>
      <c r="C12">
        <v>2017</v>
      </c>
      <c r="D12">
        <v>10.6</v>
      </c>
    </row>
    <row r="13" spans="1:4" x14ac:dyDescent="0.3">
      <c r="A13" s="1" t="s">
        <v>11</v>
      </c>
      <c r="B13" s="1" t="s">
        <v>3</v>
      </c>
      <c r="C13">
        <v>2018</v>
      </c>
      <c r="D13">
        <v>10.7</v>
      </c>
    </row>
    <row r="14" spans="1:4" x14ac:dyDescent="0.3">
      <c r="A14" s="1" t="s">
        <v>11</v>
      </c>
      <c r="B14" s="1" t="s">
        <v>3</v>
      </c>
      <c r="C14">
        <v>2019</v>
      </c>
      <c r="D14">
        <v>10.8</v>
      </c>
    </row>
    <row r="15" spans="1:4" x14ac:dyDescent="0.3">
      <c r="A15" s="1" t="s">
        <v>11</v>
      </c>
      <c r="B15" s="1" t="s">
        <v>3</v>
      </c>
      <c r="C15">
        <v>2020</v>
      </c>
      <c r="D15">
        <v>11.9</v>
      </c>
    </row>
    <row r="16" spans="1:4" x14ac:dyDescent="0.3">
      <c r="A16" s="1" t="s">
        <v>11</v>
      </c>
      <c r="B16" s="1" t="s">
        <v>3</v>
      </c>
      <c r="C16">
        <v>2021</v>
      </c>
      <c r="D16">
        <v>11.7</v>
      </c>
    </row>
    <row r="17" spans="1:4" x14ac:dyDescent="0.3">
      <c r="A17" s="1" t="s">
        <v>11</v>
      </c>
      <c r="B17" s="1" t="s">
        <v>3</v>
      </c>
      <c r="C17">
        <v>2022</v>
      </c>
      <c r="D17">
        <v>11.5</v>
      </c>
    </row>
    <row r="18" spans="1:4" x14ac:dyDescent="0.3">
      <c r="A18" s="1" t="s">
        <v>11</v>
      </c>
      <c r="B18" s="1" t="s">
        <v>4</v>
      </c>
      <c r="C18">
        <v>2015</v>
      </c>
      <c r="D18">
        <v>11.4</v>
      </c>
    </row>
    <row r="19" spans="1:4" x14ac:dyDescent="0.3">
      <c r="A19" s="1" t="s">
        <v>11</v>
      </c>
      <c r="B19" s="1" t="s">
        <v>4</v>
      </c>
      <c r="C19">
        <v>2016</v>
      </c>
      <c r="D19">
        <v>11.5</v>
      </c>
    </row>
    <row r="20" spans="1:4" x14ac:dyDescent="0.3">
      <c r="A20" s="1" t="s">
        <v>11</v>
      </c>
      <c r="B20" s="1" t="s">
        <v>4</v>
      </c>
      <c r="C20">
        <v>2017</v>
      </c>
      <c r="D20">
        <v>11.6</v>
      </c>
    </row>
    <row r="21" spans="1:4" x14ac:dyDescent="0.3">
      <c r="A21" s="1" t="s">
        <v>11</v>
      </c>
      <c r="B21" s="1" t="s">
        <v>4</v>
      </c>
      <c r="C21">
        <v>2018</v>
      </c>
      <c r="D21">
        <v>11.4</v>
      </c>
    </row>
    <row r="22" spans="1:4" x14ac:dyDescent="0.3">
      <c r="A22" s="1" t="s">
        <v>11</v>
      </c>
      <c r="B22" s="1" t="s">
        <v>4</v>
      </c>
      <c r="C22">
        <v>2019</v>
      </c>
      <c r="D22">
        <v>11.3</v>
      </c>
    </row>
    <row r="23" spans="1:4" x14ac:dyDescent="0.3">
      <c r="A23" s="1" t="s">
        <v>11</v>
      </c>
      <c r="B23" s="1" t="s">
        <v>4</v>
      </c>
      <c r="C23">
        <v>2020</v>
      </c>
      <c r="D23">
        <v>12.2</v>
      </c>
    </row>
    <row r="24" spans="1:4" x14ac:dyDescent="0.3">
      <c r="A24" s="1" t="s">
        <v>11</v>
      </c>
      <c r="B24" s="1" t="s">
        <v>4</v>
      </c>
      <c r="C24">
        <v>2021</v>
      </c>
      <c r="D24">
        <v>12.1</v>
      </c>
    </row>
    <row r="25" spans="1:4" x14ac:dyDescent="0.3">
      <c r="A25" s="1" t="s">
        <v>11</v>
      </c>
      <c r="B25" s="1" t="s">
        <v>4</v>
      </c>
      <c r="C25">
        <v>2022</v>
      </c>
      <c r="D25">
        <v>11.8</v>
      </c>
    </row>
    <row r="26" spans="1:4" x14ac:dyDescent="0.3">
      <c r="A26" s="1" t="s">
        <v>11</v>
      </c>
      <c r="B26" s="1" t="s">
        <v>5</v>
      </c>
      <c r="C26">
        <v>2015</v>
      </c>
      <c r="D26">
        <v>13.4</v>
      </c>
    </row>
    <row r="27" spans="1:4" x14ac:dyDescent="0.3">
      <c r="A27" s="1" t="s">
        <v>11</v>
      </c>
      <c r="B27" s="1" t="s">
        <v>5</v>
      </c>
      <c r="C27">
        <v>2016</v>
      </c>
      <c r="D27">
        <v>13.4</v>
      </c>
    </row>
    <row r="28" spans="1:4" x14ac:dyDescent="0.3">
      <c r="A28" s="1" t="s">
        <v>11</v>
      </c>
      <c r="B28" s="1" t="s">
        <v>5</v>
      </c>
      <c r="C28">
        <v>2017</v>
      </c>
      <c r="D28">
        <v>13.3</v>
      </c>
    </row>
    <row r="29" spans="1:4" x14ac:dyDescent="0.3">
      <c r="A29" s="1" t="s">
        <v>11</v>
      </c>
      <c r="B29" s="1" t="s">
        <v>5</v>
      </c>
      <c r="C29">
        <v>2018</v>
      </c>
      <c r="D29">
        <v>13.1</v>
      </c>
    </row>
    <row r="30" spans="1:4" x14ac:dyDescent="0.3">
      <c r="A30" s="1" t="s">
        <v>11</v>
      </c>
      <c r="B30" s="1" t="s">
        <v>5</v>
      </c>
      <c r="C30">
        <v>2019</v>
      </c>
      <c r="D30">
        <v>13.1</v>
      </c>
    </row>
    <row r="31" spans="1:4" x14ac:dyDescent="0.3">
      <c r="A31" s="1" t="s">
        <v>11</v>
      </c>
      <c r="B31" s="1" t="s">
        <v>5</v>
      </c>
      <c r="C31">
        <v>2020</v>
      </c>
      <c r="D31">
        <v>14.9</v>
      </c>
    </row>
    <row r="32" spans="1:4" x14ac:dyDescent="0.3">
      <c r="A32" s="1" t="s">
        <v>11</v>
      </c>
      <c r="B32" s="1" t="s">
        <v>5</v>
      </c>
      <c r="C32">
        <v>2021</v>
      </c>
      <c r="D32">
        <v>13.9</v>
      </c>
    </row>
    <row r="33" spans="1:4" x14ac:dyDescent="0.3">
      <c r="A33" s="1" t="s">
        <v>11</v>
      </c>
      <c r="B33" s="1" t="s">
        <v>5</v>
      </c>
      <c r="C33">
        <v>2022</v>
      </c>
      <c r="D33">
        <v>13.3</v>
      </c>
    </row>
    <row r="34" spans="1:4" x14ac:dyDescent="0.3">
      <c r="A34" s="1" t="s">
        <v>11</v>
      </c>
      <c r="B34" s="1" t="s">
        <v>6</v>
      </c>
      <c r="C34">
        <v>2015</v>
      </c>
      <c r="D34">
        <v>11.5</v>
      </c>
    </row>
    <row r="35" spans="1:4" x14ac:dyDescent="0.3">
      <c r="A35" s="1" t="s">
        <v>11</v>
      </c>
      <c r="B35" s="1" t="s">
        <v>6</v>
      </c>
      <c r="C35">
        <v>2016</v>
      </c>
      <c r="D35">
        <v>11.5</v>
      </c>
    </row>
    <row r="36" spans="1:4" x14ac:dyDescent="0.3">
      <c r="A36" s="1" t="s">
        <v>11</v>
      </c>
      <c r="B36" s="1" t="s">
        <v>6</v>
      </c>
      <c r="C36">
        <v>2017</v>
      </c>
      <c r="D36">
        <v>11.5</v>
      </c>
    </row>
    <row r="37" spans="1:4" x14ac:dyDescent="0.3">
      <c r="A37" s="1" t="s">
        <v>11</v>
      </c>
      <c r="B37" s="1" t="s">
        <v>6</v>
      </c>
      <c r="C37">
        <v>2018</v>
      </c>
      <c r="D37">
        <v>11.3</v>
      </c>
    </row>
    <row r="38" spans="1:4" x14ac:dyDescent="0.3">
      <c r="A38" s="1" t="s">
        <v>11</v>
      </c>
      <c r="B38" s="1" t="s">
        <v>6</v>
      </c>
      <c r="C38">
        <v>2019</v>
      </c>
      <c r="D38">
        <v>11.4</v>
      </c>
    </row>
    <row r="39" spans="1:4" x14ac:dyDescent="0.3">
      <c r="A39" s="1" t="s">
        <v>11</v>
      </c>
      <c r="B39" s="1" t="s">
        <v>6</v>
      </c>
      <c r="C39">
        <v>2020</v>
      </c>
      <c r="D39">
        <v>13.2</v>
      </c>
    </row>
    <row r="40" spans="1:4" x14ac:dyDescent="0.3">
      <c r="A40" s="1" t="s">
        <v>11</v>
      </c>
      <c r="B40" s="1" t="s">
        <v>6</v>
      </c>
      <c r="C40">
        <v>2021</v>
      </c>
      <c r="D40">
        <v>12.7</v>
      </c>
    </row>
    <row r="41" spans="1:4" x14ac:dyDescent="0.3">
      <c r="A41" s="1" t="s">
        <v>11</v>
      </c>
      <c r="B41" s="1" t="s">
        <v>6</v>
      </c>
      <c r="C41">
        <v>2022</v>
      </c>
      <c r="D41">
        <v>11.7</v>
      </c>
    </row>
    <row r="42" spans="1:4" x14ac:dyDescent="0.3">
      <c r="A42" s="1" t="s">
        <v>11</v>
      </c>
      <c r="B42" s="1" t="s">
        <v>7</v>
      </c>
      <c r="C42">
        <v>2015</v>
      </c>
      <c r="D42">
        <v>12.3</v>
      </c>
    </row>
    <row r="43" spans="1:4" x14ac:dyDescent="0.3">
      <c r="A43" s="1" t="s">
        <v>11</v>
      </c>
      <c r="B43" s="1" t="s">
        <v>7</v>
      </c>
      <c r="C43">
        <v>2016</v>
      </c>
      <c r="D43">
        <v>12.5</v>
      </c>
    </row>
    <row r="44" spans="1:4" x14ac:dyDescent="0.3">
      <c r="A44" s="1" t="s">
        <v>11</v>
      </c>
      <c r="B44" s="1" t="s">
        <v>7</v>
      </c>
      <c r="C44">
        <v>2017</v>
      </c>
      <c r="D44">
        <v>12.4</v>
      </c>
    </row>
    <row r="45" spans="1:4" x14ac:dyDescent="0.3">
      <c r="A45" s="1" t="s">
        <v>11</v>
      </c>
      <c r="B45" s="1" t="s">
        <v>7</v>
      </c>
      <c r="C45">
        <v>2018</v>
      </c>
      <c r="D45">
        <v>12.5</v>
      </c>
    </row>
    <row r="46" spans="1:4" x14ac:dyDescent="0.3">
      <c r="A46" s="1" t="s">
        <v>11</v>
      </c>
      <c r="B46" s="1" t="s">
        <v>7</v>
      </c>
      <c r="C46">
        <v>2019</v>
      </c>
      <c r="D46">
        <v>12.4</v>
      </c>
    </row>
    <row r="47" spans="1:4" x14ac:dyDescent="0.3">
      <c r="A47" s="1" t="s">
        <v>11</v>
      </c>
      <c r="B47" s="1" t="s">
        <v>7</v>
      </c>
      <c r="C47">
        <v>2020</v>
      </c>
      <c r="D47">
        <v>13.3</v>
      </c>
    </row>
    <row r="48" spans="1:4" x14ac:dyDescent="0.3">
      <c r="A48" s="1" t="s">
        <v>11</v>
      </c>
      <c r="B48" s="1" t="s">
        <v>7</v>
      </c>
      <c r="C48">
        <v>2021</v>
      </c>
      <c r="D48">
        <v>12.9</v>
      </c>
    </row>
    <row r="49" spans="1:4" x14ac:dyDescent="0.3">
      <c r="A49" s="1" t="s">
        <v>11</v>
      </c>
      <c r="B49" s="1" t="s">
        <v>7</v>
      </c>
      <c r="C49">
        <v>2022</v>
      </c>
      <c r="D49">
        <v>12.8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DC73-B805-42DD-9E99-66620F1A0751}">
  <dimension ref="A1:E287"/>
  <sheetViews>
    <sheetView tabSelected="1" workbookViewId="0">
      <selection activeCell="J17" sqref="J17"/>
    </sheetView>
  </sheetViews>
  <sheetFormatPr defaultRowHeight="14.4" x14ac:dyDescent="0.3"/>
  <cols>
    <col min="1" max="1" width="10.77734375" bestFit="1" customWidth="1"/>
    <col min="2" max="3" width="10" bestFit="1" customWidth="1"/>
    <col min="4" max="4" width="6.88671875" bestFit="1" customWidth="1"/>
    <col min="5" max="5" width="8" bestFit="1" customWidth="1"/>
    <col min="6" max="7" width="10" bestFit="1" customWidth="1"/>
    <col min="8" max="8" width="6.33203125" bestFit="1" customWidth="1"/>
    <col min="9" max="9" width="14.88671875" bestFit="1" customWidth="1"/>
    <col min="10" max="10" width="13.33203125" bestFit="1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 s="1" t="s">
        <v>0</v>
      </c>
      <c r="B2" s="1" t="s">
        <v>1</v>
      </c>
      <c r="C2" s="1" t="s">
        <v>2</v>
      </c>
      <c r="D2">
        <v>2016</v>
      </c>
      <c r="E2">
        <v>100.3</v>
      </c>
    </row>
    <row r="3" spans="1:5" x14ac:dyDescent="0.3">
      <c r="A3" s="1" t="s">
        <v>0</v>
      </c>
      <c r="B3" s="1" t="s">
        <v>1</v>
      </c>
      <c r="C3" s="1" t="s">
        <v>2</v>
      </c>
      <c r="D3">
        <v>2017</v>
      </c>
      <c r="E3">
        <v>102.5</v>
      </c>
    </row>
    <row r="4" spans="1:5" x14ac:dyDescent="0.3">
      <c r="A4" s="1" t="s">
        <v>0</v>
      </c>
      <c r="B4" s="1" t="s">
        <v>1</v>
      </c>
      <c r="C4" s="1" t="s">
        <v>2</v>
      </c>
      <c r="D4">
        <v>2018</v>
      </c>
      <c r="E4">
        <v>104.4</v>
      </c>
    </row>
    <row r="5" spans="1:5" x14ac:dyDescent="0.3">
      <c r="A5" s="1" t="s">
        <v>0</v>
      </c>
      <c r="B5" s="1" t="s">
        <v>1</v>
      </c>
      <c r="C5" s="1" t="s">
        <v>2</v>
      </c>
      <c r="D5">
        <v>2019</v>
      </c>
      <c r="E5">
        <v>106.4</v>
      </c>
    </row>
    <row r="6" spans="1:5" x14ac:dyDescent="0.3">
      <c r="A6" s="1" t="s">
        <v>0</v>
      </c>
      <c r="B6" s="1" t="s">
        <v>1</v>
      </c>
      <c r="C6" s="1" t="s">
        <v>2</v>
      </c>
      <c r="D6">
        <v>2020</v>
      </c>
      <c r="E6">
        <v>109.1</v>
      </c>
    </row>
    <row r="7" spans="1:5" x14ac:dyDescent="0.3">
      <c r="A7" s="1" t="s">
        <v>0</v>
      </c>
      <c r="B7" s="1" t="s">
        <v>1</v>
      </c>
      <c r="C7" s="1" t="s">
        <v>2</v>
      </c>
      <c r="D7">
        <v>2021</v>
      </c>
      <c r="E7">
        <v>116.2</v>
      </c>
    </row>
    <row r="8" spans="1:5" x14ac:dyDescent="0.3">
      <c r="A8" s="1" t="s">
        <v>0</v>
      </c>
      <c r="B8" s="1" t="s">
        <v>1</v>
      </c>
      <c r="C8" s="1" t="s">
        <v>2</v>
      </c>
      <c r="D8">
        <v>2022</v>
      </c>
      <c r="E8">
        <v>120.5</v>
      </c>
    </row>
    <row r="9" spans="1:5" x14ac:dyDescent="0.3">
      <c r="A9" s="1" t="s">
        <v>0</v>
      </c>
      <c r="B9" s="1" t="s">
        <v>1</v>
      </c>
      <c r="C9" s="1" t="s">
        <v>2</v>
      </c>
      <c r="D9">
        <v>2023</v>
      </c>
      <c r="E9">
        <v>124.3</v>
      </c>
    </row>
    <row r="10" spans="1:5" x14ac:dyDescent="0.3">
      <c r="A10" s="1" t="s">
        <v>0</v>
      </c>
      <c r="B10" s="1" t="s">
        <v>1</v>
      </c>
      <c r="C10" s="1" t="s">
        <v>3</v>
      </c>
      <c r="D10">
        <v>2016</v>
      </c>
      <c r="E10">
        <v>102.4</v>
      </c>
    </row>
    <row r="11" spans="1:5" x14ac:dyDescent="0.3">
      <c r="A11" s="1" t="s">
        <v>0</v>
      </c>
      <c r="B11" s="1" t="s">
        <v>1</v>
      </c>
      <c r="C11" s="1" t="s">
        <v>3</v>
      </c>
      <c r="D11">
        <v>2017</v>
      </c>
      <c r="E11">
        <v>107.5</v>
      </c>
    </row>
    <row r="12" spans="1:5" x14ac:dyDescent="0.3">
      <c r="A12" s="1" t="s">
        <v>0</v>
      </c>
      <c r="B12" s="1" t="s">
        <v>1</v>
      </c>
      <c r="C12" s="1" t="s">
        <v>3</v>
      </c>
      <c r="D12">
        <v>2018</v>
      </c>
      <c r="E12">
        <v>110.7</v>
      </c>
    </row>
    <row r="13" spans="1:5" x14ac:dyDescent="0.3">
      <c r="A13" s="1" t="s">
        <v>0</v>
      </c>
      <c r="B13" s="1" t="s">
        <v>1</v>
      </c>
      <c r="C13" s="1" t="s">
        <v>3</v>
      </c>
      <c r="D13">
        <v>2019</v>
      </c>
      <c r="E13">
        <v>115</v>
      </c>
    </row>
    <row r="14" spans="1:5" x14ac:dyDescent="0.3">
      <c r="A14" s="1" t="s">
        <v>0</v>
      </c>
      <c r="B14" s="1" t="s">
        <v>1</v>
      </c>
      <c r="C14" s="1" t="s">
        <v>3</v>
      </c>
      <c r="D14">
        <v>2020</v>
      </c>
      <c r="E14">
        <v>121.4</v>
      </c>
    </row>
    <row r="15" spans="1:5" x14ac:dyDescent="0.3">
      <c r="A15" s="1" t="s">
        <v>0</v>
      </c>
      <c r="B15" s="1" t="s">
        <v>1</v>
      </c>
      <c r="C15" s="1" t="s">
        <v>3</v>
      </c>
      <c r="D15">
        <v>2021</v>
      </c>
      <c r="E15">
        <v>124.7</v>
      </c>
    </row>
    <row r="16" spans="1:5" x14ac:dyDescent="0.3">
      <c r="A16" s="1" t="s">
        <v>0</v>
      </c>
      <c r="B16" s="1" t="s">
        <v>1</v>
      </c>
      <c r="C16" s="1" t="s">
        <v>3</v>
      </c>
      <c r="D16">
        <v>2022</v>
      </c>
      <c r="E16">
        <v>134.4</v>
      </c>
    </row>
    <row r="17" spans="1:5" x14ac:dyDescent="0.3">
      <c r="A17" s="1" t="s">
        <v>0</v>
      </c>
      <c r="B17" s="1" t="s">
        <v>1</v>
      </c>
      <c r="C17" s="1" t="s">
        <v>3</v>
      </c>
      <c r="D17">
        <v>2023</v>
      </c>
      <c r="E17">
        <v>137.69999999999999</v>
      </c>
    </row>
    <row r="18" spans="1:5" x14ac:dyDescent="0.3">
      <c r="A18" s="1" t="s">
        <v>0</v>
      </c>
      <c r="B18" s="1" t="s">
        <v>1</v>
      </c>
      <c r="C18" s="1" t="s">
        <v>4</v>
      </c>
      <c r="D18">
        <v>2016</v>
      </c>
      <c r="E18">
        <v>100.5</v>
      </c>
    </row>
    <row r="19" spans="1:5" x14ac:dyDescent="0.3">
      <c r="A19" s="1" t="s">
        <v>0</v>
      </c>
      <c r="B19" s="1" t="s">
        <v>1</v>
      </c>
      <c r="C19" s="1" t="s">
        <v>4</v>
      </c>
      <c r="D19">
        <v>2017</v>
      </c>
      <c r="E19">
        <v>101.5</v>
      </c>
    </row>
    <row r="20" spans="1:5" x14ac:dyDescent="0.3">
      <c r="A20" s="1" t="s">
        <v>0</v>
      </c>
      <c r="B20" s="1" t="s">
        <v>1</v>
      </c>
      <c r="C20" s="1" t="s">
        <v>4</v>
      </c>
      <c r="D20">
        <v>2018</v>
      </c>
      <c r="E20">
        <v>102.6</v>
      </c>
    </row>
    <row r="21" spans="1:5" x14ac:dyDescent="0.3">
      <c r="A21" s="1" t="s">
        <v>0</v>
      </c>
      <c r="B21" s="1" t="s">
        <v>1</v>
      </c>
      <c r="C21" s="1" t="s">
        <v>4</v>
      </c>
      <c r="D21">
        <v>2019</v>
      </c>
      <c r="E21">
        <v>103.6</v>
      </c>
    </row>
    <row r="22" spans="1:5" x14ac:dyDescent="0.3">
      <c r="A22" s="1" t="s">
        <v>0</v>
      </c>
      <c r="B22" s="1" t="s">
        <v>1</v>
      </c>
      <c r="C22" s="1" t="s">
        <v>4</v>
      </c>
      <c r="D22">
        <v>2020</v>
      </c>
      <c r="E22">
        <v>107.4</v>
      </c>
    </row>
    <row r="23" spans="1:5" x14ac:dyDescent="0.3">
      <c r="A23" s="1" t="s">
        <v>0</v>
      </c>
      <c r="B23" s="1" t="s">
        <v>1</v>
      </c>
      <c r="C23" s="1" t="s">
        <v>4</v>
      </c>
      <c r="D23">
        <v>2021</v>
      </c>
      <c r="E23">
        <v>113</v>
      </c>
    </row>
    <row r="24" spans="1:5" x14ac:dyDescent="0.3">
      <c r="A24" s="1" t="s">
        <v>0</v>
      </c>
      <c r="B24" s="1" t="s">
        <v>1</v>
      </c>
      <c r="C24" s="1" t="s">
        <v>4</v>
      </c>
      <c r="D24">
        <v>2022</v>
      </c>
      <c r="E24">
        <v>115.7</v>
      </c>
    </row>
    <row r="25" spans="1:5" x14ac:dyDescent="0.3">
      <c r="A25" s="1" t="s">
        <v>0</v>
      </c>
      <c r="B25" s="1" t="s">
        <v>1</v>
      </c>
      <c r="C25" s="1" t="s">
        <v>4</v>
      </c>
      <c r="D25">
        <v>2023</v>
      </c>
      <c r="E25">
        <v>119.2</v>
      </c>
    </row>
    <row r="26" spans="1:5" x14ac:dyDescent="0.3">
      <c r="A26" s="1" t="s">
        <v>0</v>
      </c>
      <c r="B26" s="1" t="s">
        <v>1</v>
      </c>
      <c r="C26" s="1" t="s">
        <v>5</v>
      </c>
      <c r="D26">
        <v>2016</v>
      </c>
      <c r="E26">
        <v>102</v>
      </c>
    </row>
    <row r="27" spans="1:5" x14ac:dyDescent="0.3">
      <c r="A27" s="1" t="s">
        <v>0</v>
      </c>
      <c r="B27" s="1" t="s">
        <v>1</v>
      </c>
      <c r="C27" s="1" t="s">
        <v>5</v>
      </c>
      <c r="D27">
        <v>2017</v>
      </c>
      <c r="E27">
        <v>106.4</v>
      </c>
    </row>
    <row r="28" spans="1:5" x14ac:dyDescent="0.3">
      <c r="A28" s="1" t="s">
        <v>0</v>
      </c>
      <c r="B28" s="1" t="s">
        <v>1</v>
      </c>
      <c r="C28" s="1" t="s">
        <v>5</v>
      </c>
      <c r="D28">
        <v>2018</v>
      </c>
      <c r="E28">
        <v>110.6</v>
      </c>
    </row>
    <row r="29" spans="1:5" x14ac:dyDescent="0.3">
      <c r="A29" s="1" t="s">
        <v>0</v>
      </c>
      <c r="B29" s="1" t="s">
        <v>1</v>
      </c>
      <c r="C29" s="1" t="s">
        <v>5</v>
      </c>
      <c r="D29">
        <v>2019</v>
      </c>
      <c r="E29">
        <v>113.8</v>
      </c>
    </row>
    <row r="30" spans="1:5" x14ac:dyDescent="0.3">
      <c r="A30" s="1" t="s">
        <v>0</v>
      </c>
      <c r="B30" s="1" t="s">
        <v>1</v>
      </c>
      <c r="C30" s="1" t="s">
        <v>5</v>
      </c>
      <c r="D30">
        <v>2020</v>
      </c>
      <c r="E30">
        <v>110.6</v>
      </c>
    </row>
    <row r="31" spans="1:5" x14ac:dyDescent="0.3">
      <c r="A31" s="1" t="s">
        <v>0</v>
      </c>
      <c r="B31" s="1" t="s">
        <v>1</v>
      </c>
      <c r="C31" s="1" t="s">
        <v>5</v>
      </c>
      <c r="D31">
        <v>2021</v>
      </c>
      <c r="E31">
        <v>122.8</v>
      </c>
    </row>
    <row r="32" spans="1:5" x14ac:dyDescent="0.3">
      <c r="A32" s="1" t="s">
        <v>0</v>
      </c>
      <c r="B32" s="1" t="s">
        <v>1</v>
      </c>
      <c r="C32" s="1" t="s">
        <v>5</v>
      </c>
      <c r="D32">
        <v>2022</v>
      </c>
      <c r="E32">
        <v>133.9</v>
      </c>
    </row>
    <row r="33" spans="1:5" x14ac:dyDescent="0.3">
      <c r="A33" s="1" t="s">
        <v>0</v>
      </c>
      <c r="B33" s="1" t="s">
        <v>1</v>
      </c>
      <c r="C33" s="1" t="s">
        <v>5</v>
      </c>
      <c r="D33">
        <v>2023</v>
      </c>
      <c r="E33">
        <v>139.30000000000001</v>
      </c>
    </row>
    <row r="34" spans="1:5" x14ac:dyDescent="0.3">
      <c r="A34" s="1" t="s">
        <v>0</v>
      </c>
      <c r="B34" s="1" t="s">
        <v>1</v>
      </c>
      <c r="C34" s="1" t="s">
        <v>6</v>
      </c>
      <c r="D34">
        <v>2016</v>
      </c>
      <c r="E34">
        <v>101.9</v>
      </c>
    </row>
    <row r="35" spans="1:5" x14ac:dyDescent="0.3">
      <c r="A35" s="1" t="s">
        <v>0</v>
      </c>
      <c r="B35" s="1" t="s">
        <v>1</v>
      </c>
      <c r="C35" s="1" t="s">
        <v>6</v>
      </c>
      <c r="D35">
        <v>2017</v>
      </c>
      <c r="E35">
        <v>106.3</v>
      </c>
    </row>
    <row r="36" spans="1:5" x14ac:dyDescent="0.3">
      <c r="A36" s="1" t="s">
        <v>0</v>
      </c>
      <c r="B36" s="1" t="s">
        <v>1</v>
      </c>
      <c r="C36" s="1" t="s">
        <v>6</v>
      </c>
      <c r="D36">
        <v>2018</v>
      </c>
      <c r="E36">
        <v>110.3</v>
      </c>
    </row>
    <row r="37" spans="1:5" x14ac:dyDescent="0.3">
      <c r="A37" s="1" t="s">
        <v>0</v>
      </c>
      <c r="B37" s="1" t="s">
        <v>1</v>
      </c>
      <c r="C37" s="1" t="s">
        <v>6</v>
      </c>
      <c r="D37">
        <v>2019</v>
      </c>
      <c r="E37">
        <v>113.6</v>
      </c>
    </row>
    <row r="38" spans="1:5" x14ac:dyDescent="0.3">
      <c r="A38" s="1" t="s">
        <v>0</v>
      </c>
      <c r="B38" s="1" t="s">
        <v>1</v>
      </c>
      <c r="C38" s="1" t="s">
        <v>6</v>
      </c>
      <c r="D38">
        <v>2020</v>
      </c>
      <c r="E38">
        <v>118.1</v>
      </c>
    </row>
    <row r="39" spans="1:5" x14ac:dyDescent="0.3">
      <c r="A39" s="1" t="s">
        <v>0</v>
      </c>
      <c r="B39" s="1" t="s">
        <v>1</v>
      </c>
      <c r="C39" s="1" t="s">
        <v>6</v>
      </c>
      <c r="D39">
        <v>2021</v>
      </c>
      <c r="E39">
        <v>124.1</v>
      </c>
    </row>
    <row r="40" spans="1:5" x14ac:dyDescent="0.3">
      <c r="A40" s="1" t="s">
        <v>0</v>
      </c>
      <c r="B40" s="1" t="s">
        <v>1</v>
      </c>
      <c r="C40" s="1" t="s">
        <v>6</v>
      </c>
      <c r="D40">
        <v>2022</v>
      </c>
      <c r="E40">
        <v>134.5</v>
      </c>
    </row>
    <row r="41" spans="1:5" x14ac:dyDescent="0.3">
      <c r="A41" s="1" t="s">
        <v>0</v>
      </c>
      <c r="B41" s="1" t="s">
        <v>1</v>
      </c>
      <c r="C41" s="1" t="s">
        <v>6</v>
      </c>
      <c r="D41">
        <v>2023</v>
      </c>
      <c r="E41">
        <v>140.9</v>
      </c>
    </row>
    <row r="42" spans="1:5" x14ac:dyDescent="0.3">
      <c r="A42" s="1" t="s">
        <v>0</v>
      </c>
      <c r="B42" s="1" t="s">
        <v>1</v>
      </c>
      <c r="C42" s="1" t="s">
        <v>7</v>
      </c>
      <c r="D42">
        <v>2016</v>
      </c>
      <c r="E42">
        <v>102.3</v>
      </c>
    </row>
    <row r="43" spans="1:5" x14ac:dyDescent="0.3">
      <c r="A43" s="1" t="s">
        <v>0</v>
      </c>
      <c r="B43" s="1" t="s">
        <v>1</v>
      </c>
      <c r="C43" s="1" t="s">
        <v>7</v>
      </c>
      <c r="D43">
        <v>2017</v>
      </c>
      <c r="E43">
        <v>105</v>
      </c>
    </row>
    <row r="44" spans="1:5" x14ac:dyDescent="0.3">
      <c r="A44" s="1" t="s">
        <v>0</v>
      </c>
      <c r="B44" s="1" t="s">
        <v>1</v>
      </c>
      <c r="C44" s="1" t="s">
        <v>7</v>
      </c>
      <c r="D44">
        <v>2018</v>
      </c>
      <c r="E44">
        <v>108.3</v>
      </c>
    </row>
    <row r="45" spans="1:5" x14ac:dyDescent="0.3">
      <c r="A45" s="1" t="s">
        <v>0</v>
      </c>
      <c r="B45" s="1" t="s">
        <v>1</v>
      </c>
      <c r="C45" s="1" t="s">
        <v>7</v>
      </c>
      <c r="D45">
        <v>2019</v>
      </c>
      <c r="E45">
        <v>111.6</v>
      </c>
    </row>
    <row r="46" spans="1:5" x14ac:dyDescent="0.3">
      <c r="A46" s="1" t="s">
        <v>0</v>
      </c>
      <c r="B46" s="1" t="s">
        <v>1</v>
      </c>
      <c r="C46" s="1" t="s">
        <v>7</v>
      </c>
      <c r="D46">
        <v>2020</v>
      </c>
      <c r="E46">
        <v>113.1</v>
      </c>
    </row>
    <row r="47" spans="1:5" x14ac:dyDescent="0.3">
      <c r="A47" s="1" t="s">
        <v>0</v>
      </c>
      <c r="B47" s="1" t="s">
        <v>1</v>
      </c>
      <c r="C47" s="1" t="s">
        <v>7</v>
      </c>
      <c r="D47">
        <v>2021</v>
      </c>
      <c r="E47">
        <v>121.7</v>
      </c>
    </row>
    <row r="48" spans="1:5" x14ac:dyDescent="0.3">
      <c r="A48" s="1" t="s">
        <v>0</v>
      </c>
      <c r="B48" s="1" t="s">
        <v>1</v>
      </c>
      <c r="C48" s="1" t="s">
        <v>7</v>
      </c>
      <c r="D48">
        <v>2022</v>
      </c>
      <c r="E48">
        <v>129.69999999999999</v>
      </c>
    </row>
    <row r="49" spans="1:5" x14ac:dyDescent="0.3">
      <c r="A49" s="1" t="s">
        <v>0</v>
      </c>
      <c r="B49" s="1" t="s">
        <v>1</v>
      </c>
      <c r="C49" s="1" t="s">
        <v>7</v>
      </c>
      <c r="D49">
        <v>2023</v>
      </c>
      <c r="E49">
        <v>133</v>
      </c>
    </row>
    <row r="50" spans="1:5" x14ac:dyDescent="0.3">
      <c r="A50" s="1" t="s">
        <v>0</v>
      </c>
      <c r="B50" s="1" t="s">
        <v>8</v>
      </c>
      <c r="C50" s="1" t="s">
        <v>2</v>
      </c>
      <c r="D50">
        <v>2016</v>
      </c>
      <c r="E50">
        <v>101.3</v>
      </c>
    </row>
    <row r="51" spans="1:5" x14ac:dyDescent="0.3">
      <c r="A51" s="1" t="s">
        <v>0</v>
      </c>
      <c r="B51" s="1" t="s">
        <v>8</v>
      </c>
      <c r="C51" s="1" t="s">
        <v>2</v>
      </c>
      <c r="D51">
        <v>2017</v>
      </c>
      <c r="E51">
        <v>102.3</v>
      </c>
    </row>
    <row r="52" spans="1:5" x14ac:dyDescent="0.3">
      <c r="A52" s="1" t="s">
        <v>0</v>
      </c>
      <c r="B52" s="1" t="s">
        <v>8</v>
      </c>
      <c r="C52" s="1" t="s">
        <v>2</v>
      </c>
      <c r="D52">
        <v>2018</v>
      </c>
      <c r="E52">
        <v>103.6</v>
      </c>
    </row>
    <row r="53" spans="1:5" x14ac:dyDescent="0.3">
      <c r="A53" s="1" t="s">
        <v>0</v>
      </c>
      <c r="B53" s="1" t="s">
        <v>8</v>
      </c>
      <c r="C53" s="1" t="s">
        <v>2</v>
      </c>
      <c r="D53">
        <v>2019</v>
      </c>
      <c r="E53">
        <v>104.6</v>
      </c>
    </row>
    <row r="54" spans="1:5" x14ac:dyDescent="0.3">
      <c r="A54" s="1" t="s">
        <v>0</v>
      </c>
      <c r="B54" s="1" t="s">
        <v>8</v>
      </c>
      <c r="C54" s="1" t="s">
        <v>2</v>
      </c>
      <c r="D54">
        <v>2020</v>
      </c>
      <c r="E54">
        <v>111.8</v>
      </c>
    </row>
    <row r="55" spans="1:5" x14ac:dyDescent="0.3">
      <c r="A55" s="1" t="s">
        <v>0</v>
      </c>
      <c r="B55" s="1" t="s">
        <v>8</v>
      </c>
      <c r="C55" s="1" t="s">
        <v>2</v>
      </c>
      <c r="D55">
        <v>2021</v>
      </c>
      <c r="E55">
        <v>111</v>
      </c>
    </row>
    <row r="56" spans="1:5" x14ac:dyDescent="0.3">
      <c r="A56" s="1" t="s">
        <v>0</v>
      </c>
      <c r="B56" s="1" t="s">
        <v>8</v>
      </c>
      <c r="C56" s="1" t="s">
        <v>2</v>
      </c>
      <c r="D56">
        <v>2022</v>
      </c>
      <c r="E56">
        <v>112.7</v>
      </c>
    </row>
    <row r="57" spans="1:5" x14ac:dyDescent="0.3">
      <c r="A57" s="1" t="s">
        <v>0</v>
      </c>
      <c r="B57" s="1" t="s">
        <v>8</v>
      </c>
      <c r="C57" s="1" t="s">
        <v>2</v>
      </c>
      <c r="D57">
        <v>2023</v>
      </c>
      <c r="E57">
        <v>121</v>
      </c>
    </row>
    <row r="58" spans="1:5" x14ac:dyDescent="0.3">
      <c r="A58" s="1" t="s">
        <v>0</v>
      </c>
      <c r="B58" s="1" t="s">
        <v>8</v>
      </c>
      <c r="C58" s="1" t="s">
        <v>3</v>
      </c>
      <c r="D58">
        <v>2016</v>
      </c>
      <c r="E58">
        <v>101.5</v>
      </c>
    </row>
    <row r="59" spans="1:5" x14ac:dyDescent="0.3">
      <c r="A59" s="1" t="s">
        <v>0</v>
      </c>
      <c r="B59" s="1" t="s">
        <v>8</v>
      </c>
      <c r="C59" s="1" t="s">
        <v>3</v>
      </c>
      <c r="D59">
        <v>2017</v>
      </c>
      <c r="E59">
        <v>105.9</v>
      </c>
    </row>
    <row r="60" spans="1:5" x14ac:dyDescent="0.3">
      <c r="A60" s="1" t="s">
        <v>0</v>
      </c>
      <c r="B60" s="1" t="s">
        <v>8</v>
      </c>
      <c r="C60" s="1" t="s">
        <v>3</v>
      </c>
      <c r="D60">
        <v>2018</v>
      </c>
      <c r="E60">
        <v>109.5</v>
      </c>
    </row>
    <row r="61" spans="1:5" x14ac:dyDescent="0.3">
      <c r="A61" s="1" t="s">
        <v>0</v>
      </c>
      <c r="B61" s="1" t="s">
        <v>8</v>
      </c>
      <c r="C61" s="1" t="s">
        <v>3</v>
      </c>
      <c r="D61">
        <v>2019</v>
      </c>
      <c r="E61">
        <v>112.1</v>
      </c>
    </row>
    <row r="62" spans="1:5" x14ac:dyDescent="0.3">
      <c r="A62" s="1" t="s">
        <v>0</v>
      </c>
      <c r="B62" s="1" t="s">
        <v>8</v>
      </c>
      <c r="C62" s="1" t="s">
        <v>3</v>
      </c>
      <c r="D62">
        <v>2020</v>
      </c>
      <c r="E62">
        <v>120.1</v>
      </c>
    </row>
    <row r="63" spans="1:5" x14ac:dyDescent="0.3">
      <c r="A63" s="1" t="s">
        <v>0</v>
      </c>
      <c r="B63" s="1" t="s">
        <v>8</v>
      </c>
      <c r="C63" s="1" t="s">
        <v>3</v>
      </c>
      <c r="D63">
        <v>2021</v>
      </c>
      <c r="E63">
        <v>120.1</v>
      </c>
    </row>
    <row r="64" spans="1:5" x14ac:dyDescent="0.3">
      <c r="A64" s="1" t="s">
        <v>0</v>
      </c>
      <c r="B64" s="1" t="s">
        <v>8</v>
      </c>
      <c r="C64" s="1" t="s">
        <v>3</v>
      </c>
      <c r="D64">
        <v>2022</v>
      </c>
      <c r="E64">
        <v>127.9</v>
      </c>
    </row>
    <row r="65" spans="1:5" x14ac:dyDescent="0.3">
      <c r="A65" s="1" t="s">
        <v>0</v>
      </c>
      <c r="B65" s="1" t="s">
        <v>8</v>
      </c>
      <c r="C65" s="1" t="s">
        <v>3</v>
      </c>
      <c r="D65">
        <v>2023</v>
      </c>
      <c r="E65">
        <v>135.6</v>
      </c>
    </row>
    <row r="66" spans="1:5" x14ac:dyDescent="0.3">
      <c r="A66" s="1" t="s">
        <v>0</v>
      </c>
      <c r="B66" s="1" t="s">
        <v>8</v>
      </c>
      <c r="C66" s="1" t="s">
        <v>4</v>
      </c>
      <c r="D66">
        <v>2016</v>
      </c>
      <c r="E66">
        <v>99.3</v>
      </c>
    </row>
    <row r="67" spans="1:5" x14ac:dyDescent="0.3">
      <c r="A67" s="1" t="s">
        <v>0</v>
      </c>
      <c r="B67" s="1" t="s">
        <v>8</v>
      </c>
      <c r="C67" s="1" t="s">
        <v>4</v>
      </c>
      <c r="D67">
        <v>2017</v>
      </c>
      <c r="E67">
        <v>99.4</v>
      </c>
    </row>
    <row r="68" spans="1:5" x14ac:dyDescent="0.3">
      <c r="A68" s="1" t="s">
        <v>0</v>
      </c>
      <c r="B68" s="1" t="s">
        <v>8</v>
      </c>
      <c r="C68" s="1" t="s">
        <v>4</v>
      </c>
      <c r="D68">
        <v>2018</v>
      </c>
      <c r="E68">
        <v>99.5</v>
      </c>
    </row>
    <row r="69" spans="1:5" x14ac:dyDescent="0.3">
      <c r="A69" s="1" t="s">
        <v>0</v>
      </c>
      <c r="B69" s="1" t="s">
        <v>8</v>
      </c>
      <c r="C69" s="1" t="s">
        <v>4</v>
      </c>
      <c r="D69">
        <v>2019</v>
      </c>
      <c r="E69">
        <v>101.1</v>
      </c>
    </row>
    <row r="70" spans="1:5" x14ac:dyDescent="0.3">
      <c r="A70" s="1" t="s">
        <v>0</v>
      </c>
      <c r="B70" s="1" t="s">
        <v>8</v>
      </c>
      <c r="C70" s="1" t="s">
        <v>4</v>
      </c>
      <c r="D70">
        <v>2020</v>
      </c>
      <c r="E70">
        <v>106.2</v>
      </c>
    </row>
    <row r="71" spans="1:5" x14ac:dyDescent="0.3">
      <c r="A71" s="1" t="s">
        <v>0</v>
      </c>
      <c r="B71" s="1" t="s">
        <v>8</v>
      </c>
      <c r="C71" s="1" t="s">
        <v>4</v>
      </c>
      <c r="D71">
        <v>2021</v>
      </c>
      <c r="E71">
        <v>107.8</v>
      </c>
    </row>
    <row r="72" spans="1:5" x14ac:dyDescent="0.3">
      <c r="A72" s="1" t="s">
        <v>0</v>
      </c>
      <c r="B72" s="1" t="s">
        <v>8</v>
      </c>
      <c r="C72" s="1" t="s">
        <v>4</v>
      </c>
      <c r="D72">
        <v>2022</v>
      </c>
      <c r="E72">
        <v>109.5</v>
      </c>
    </row>
    <row r="73" spans="1:5" x14ac:dyDescent="0.3">
      <c r="A73" s="1" t="s">
        <v>0</v>
      </c>
      <c r="B73" s="1" t="s">
        <v>8</v>
      </c>
      <c r="C73" s="1" t="s">
        <v>4</v>
      </c>
      <c r="D73">
        <v>2023</v>
      </c>
      <c r="E73">
        <v>118.1</v>
      </c>
    </row>
    <row r="74" spans="1:5" x14ac:dyDescent="0.3">
      <c r="A74" s="1" t="s">
        <v>0</v>
      </c>
      <c r="B74" s="1" t="s">
        <v>8</v>
      </c>
      <c r="C74" s="1" t="s">
        <v>5</v>
      </c>
      <c r="D74">
        <v>2016</v>
      </c>
      <c r="E74">
        <v>101.4</v>
      </c>
    </row>
    <row r="75" spans="1:5" x14ac:dyDescent="0.3">
      <c r="A75" s="1" t="s">
        <v>0</v>
      </c>
      <c r="B75" s="1" t="s">
        <v>8</v>
      </c>
      <c r="C75" s="1" t="s">
        <v>5</v>
      </c>
      <c r="D75">
        <v>2017</v>
      </c>
      <c r="E75">
        <v>105.2</v>
      </c>
    </row>
    <row r="76" spans="1:5" x14ac:dyDescent="0.3">
      <c r="A76" s="1" t="s">
        <v>0</v>
      </c>
      <c r="B76" s="1" t="s">
        <v>8</v>
      </c>
      <c r="C76" s="1" t="s">
        <v>5</v>
      </c>
      <c r="D76">
        <v>2018</v>
      </c>
      <c r="E76">
        <v>109.9</v>
      </c>
    </row>
    <row r="77" spans="1:5" x14ac:dyDescent="0.3">
      <c r="A77" s="1" t="s">
        <v>0</v>
      </c>
      <c r="B77" s="1" t="s">
        <v>8</v>
      </c>
      <c r="C77" s="1" t="s">
        <v>5</v>
      </c>
      <c r="D77">
        <v>2019</v>
      </c>
      <c r="E77">
        <v>112.4</v>
      </c>
    </row>
    <row r="78" spans="1:5" x14ac:dyDescent="0.3">
      <c r="A78" s="1" t="s">
        <v>0</v>
      </c>
      <c r="B78" s="1" t="s">
        <v>8</v>
      </c>
      <c r="C78" s="1" t="s">
        <v>5</v>
      </c>
      <c r="D78">
        <v>2020</v>
      </c>
      <c r="E78">
        <v>114.4</v>
      </c>
    </row>
    <row r="79" spans="1:5" x14ac:dyDescent="0.3">
      <c r="A79" s="1" t="s">
        <v>0</v>
      </c>
      <c r="B79" s="1" t="s">
        <v>8</v>
      </c>
      <c r="C79" s="1" t="s">
        <v>5</v>
      </c>
      <c r="D79">
        <v>2021</v>
      </c>
      <c r="E79">
        <v>120</v>
      </c>
    </row>
    <row r="80" spans="1:5" x14ac:dyDescent="0.3">
      <c r="A80" s="1" t="s">
        <v>0</v>
      </c>
      <c r="B80" s="1" t="s">
        <v>8</v>
      </c>
      <c r="C80" s="1" t="s">
        <v>5</v>
      </c>
      <c r="D80">
        <v>2022</v>
      </c>
      <c r="E80">
        <v>130.1</v>
      </c>
    </row>
    <row r="81" spans="1:5" x14ac:dyDescent="0.3">
      <c r="A81" s="1" t="s">
        <v>0</v>
      </c>
      <c r="B81" s="1" t="s">
        <v>8</v>
      </c>
      <c r="C81" s="1" t="s">
        <v>6</v>
      </c>
      <c r="D81">
        <v>2016</v>
      </c>
      <c r="E81">
        <v>101.2</v>
      </c>
    </row>
    <row r="82" spans="1:5" x14ac:dyDescent="0.3">
      <c r="A82" s="1" t="s">
        <v>0</v>
      </c>
      <c r="B82" s="1" t="s">
        <v>8</v>
      </c>
      <c r="C82" s="1" t="s">
        <v>6</v>
      </c>
      <c r="D82">
        <v>2017</v>
      </c>
      <c r="E82">
        <v>105</v>
      </c>
    </row>
    <row r="83" spans="1:5" x14ac:dyDescent="0.3">
      <c r="A83" s="1" t="s">
        <v>0</v>
      </c>
      <c r="B83" s="1" t="s">
        <v>8</v>
      </c>
      <c r="C83" s="1" t="s">
        <v>6</v>
      </c>
      <c r="D83">
        <v>2018</v>
      </c>
      <c r="E83">
        <v>109.2</v>
      </c>
    </row>
    <row r="84" spans="1:5" x14ac:dyDescent="0.3">
      <c r="A84" s="1" t="s">
        <v>0</v>
      </c>
      <c r="B84" s="1" t="s">
        <v>8</v>
      </c>
      <c r="C84" s="1" t="s">
        <v>6</v>
      </c>
      <c r="D84">
        <v>2019</v>
      </c>
      <c r="E84">
        <v>111.5</v>
      </c>
    </row>
    <row r="85" spans="1:5" x14ac:dyDescent="0.3">
      <c r="A85" s="1" t="s">
        <v>0</v>
      </c>
      <c r="B85" s="1" t="s">
        <v>8</v>
      </c>
      <c r="C85" s="1" t="s">
        <v>6</v>
      </c>
      <c r="D85">
        <v>2020</v>
      </c>
      <c r="E85">
        <v>117.6</v>
      </c>
    </row>
    <row r="86" spans="1:5" x14ac:dyDescent="0.3">
      <c r="A86" s="1" t="s">
        <v>0</v>
      </c>
      <c r="B86" s="1" t="s">
        <v>8</v>
      </c>
      <c r="C86" s="1" t="s">
        <v>6</v>
      </c>
      <c r="D86">
        <v>2021</v>
      </c>
      <c r="E86">
        <v>117.4</v>
      </c>
    </row>
    <row r="87" spans="1:5" x14ac:dyDescent="0.3">
      <c r="A87" s="1" t="s">
        <v>0</v>
      </c>
      <c r="B87" s="1" t="s">
        <v>8</v>
      </c>
      <c r="C87" s="1" t="s">
        <v>6</v>
      </c>
      <c r="D87">
        <v>2022</v>
      </c>
      <c r="E87">
        <v>125.2</v>
      </c>
    </row>
    <row r="88" spans="1:5" x14ac:dyDescent="0.3">
      <c r="A88" s="1" t="s">
        <v>0</v>
      </c>
      <c r="B88" s="1" t="s">
        <v>8</v>
      </c>
      <c r="C88" s="1" t="s">
        <v>6</v>
      </c>
      <c r="D88">
        <v>2023</v>
      </c>
      <c r="E88">
        <v>135.80000000000001</v>
      </c>
    </row>
    <row r="89" spans="1:5" x14ac:dyDescent="0.3">
      <c r="A89" s="1" t="s">
        <v>0</v>
      </c>
      <c r="B89" s="1" t="s">
        <v>8</v>
      </c>
      <c r="C89" s="1" t="s">
        <v>7</v>
      </c>
      <c r="D89">
        <v>2016</v>
      </c>
      <c r="E89">
        <v>102.2</v>
      </c>
    </row>
    <row r="90" spans="1:5" x14ac:dyDescent="0.3">
      <c r="A90" s="1" t="s">
        <v>0</v>
      </c>
      <c r="B90" s="1" t="s">
        <v>8</v>
      </c>
      <c r="C90" s="1" t="s">
        <v>7</v>
      </c>
      <c r="D90">
        <v>2017</v>
      </c>
      <c r="E90">
        <v>104.5</v>
      </c>
    </row>
    <row r="91" spans="1:5" x14ac:dyDescent="0.3">
      <c r="A91" s="1" t="s">
        <v>0</v>
      </c>
      <c r="B91" s="1" t="s">
        <v>8</v>
      </c>
      <c r="C91" s="1" t="s">
        <v>7</v>
      </c>
      <c r="D91">
        <v>2018</v>
      </c>
      <c r="E91">
        <v>108.2</v>
      </c>
    </row>
    <row r="92" spans="1:5" x14ac:dyDescent="0.3">
      <c r="A92" s="1" t="s">
        <v>0</v>
      </c>
      <c r="B92" s="1" t="s">
        <v>8</v>
      </c>
      <c r="C92" s="1" t="s">
        <v>7</v>
      </c>
      <c r="D92">
        <v>2019</v>
      </c>
      <c r="E92">
        <v>112.2</v>
      </c>
    </row>
    <row r="93" spans="1:5" x14ac:dyDescent="0.3">
      <c r="A93" s="1" t="s">
        <v>0</v>
      </c>
      <c r="B93" s="1" t="s">
        <v>8</v>
      </c>
      <c r="C93" s="1" t="s">
        <v>7</v>
      </c>
      <c r="D93">
        <v>2020</v>
      </c>
      <c r="E93">
        <v>115.9</v>
      </c>
    </row>
    <row r="94" spans="1:5" x14ac:dyDescent="0.3">
      <c r="A94" s="1" t="s">
        <v>0</v>
      </c>
      <c r="B94" s="1" t="s">
        <v>8</v>
      </c>
      <c r="C94" s="1" t="s">
        <v>7</v>
      </c>
      <c r="D94">
        <v>2021</v>
      </c>
      <c r="E94">
        <v>119.6</v>
      </c>
    </row>
    <row r="95" spans="1:5" x14ac:dyDescent="0.3">
      <c r="A95" s="1" t="s">
        <v>0</v>
      </c>
      <c r="B95" s="1" t="s">
        <v>8</v>
      </c>
      <c r="C95" s="1" t="s">
        <v>7</v>
      </c>
      <c r="D95">
        <v>2022</v>
      </c>
      <c r="E95">
        <v>129.5</v>
      </c>
    </row>
    <row r="96" spans="1:5" x14ac:dyDescent="0.3">
      <c r="A96" s="1" t="s">
        <v>0</v>
      </c>
      <c r="B96" s="1" t="s">
        <v>8</v>
      </c>
      <c r="C96" s="1" t="s">
        <v>7</v>
      </c>
      <c r="D96">
        <v>2023</v>
      </c>
      <c r="E96">
        <v>139.19999999999999</v>
      </c>
    </row>
    <row r="97" spans="1:5" x14ac:dyDescent="0.3">
      <c r="A97" s="1" t="s">
        <v>0</v>
      </c>
      <c r="B97" s="1" t="s">
        <v>9</v>
      </c>
      <c r="C97" s="1" t="s">
        <v>2</v>
      </c>
      <c r="D97">
        <v>2016</v>
      </c>
      <c r="E97">
        <v>100.9</v>
      </c>
    </row>
    <row r="98" spans="1:5" x14ac:dyDescent="0.3">
      <c r="A98" s="1" t="s">
        <v>0</v>
      </c>
      <c r="B98" s="1" t="s">
        <v>9</v>
      </c>
      <c r="C98" s="1" t="s">
        <v>2</v>
      </c>
      <c r="D98">
        <v>2017</v>
      </c>
      <c r="E98">
        <v>101.9</v>
      </c>
    </row>
    <row r="99" spans="1:5" x14ac:dyDescent="0.3">
      <c r="A99" s="1" t="s">
        <v>0</v>
      </c>
      <c r="B99" s="1" t="s">
        <v>9</v>
      </c>
      <c r="C99" s="1" t="s">
        <v>2</v>
      </c>
      <c r="D99">
        <v>2018</v>
      </c>
      <c r="E99">
        <v>103.3</v>
      </c>
    </row>
    <row r="100" spans="1:5" x14ac:dyDescent="0.3">
      <c r="A100" s="1" t="s">
        <v>0</v>
      </c>
      <c r="B100" s="1" t="s">
        <v>9</v>
      </c>
      <c r="C100" s="1" t="s">
        <v>2</v>
      </c>
      <c r="D100">
        <v>2019</v>
      </c>
      <c r="E100">
        <v>104.4</v>
      </c>
    </row>
    <row r="101" spans="1:5" x14ac:dyDescent="0.3">
      <c r="A101" s="1" t="s">
        <v>0</v>
      </c>
      <c r="B101" s="1" t="s">
        <v>9</v>
      </c>
      <c r="C101" s="1" t="s">
        <v>2</v>
      </c>
      <c r="D101">
        <v>2020</v>
      </c>
      <c r="E101">
        <v>112</v>
      </c>
    </row>
    <row r="102" spans="1:5" x14ac:dyDescent="0.3">
      <c r="A102" s="1" t="s">
        <v>0</v>
      </c>
      <c r="B102" s="1" t="s">
        <v>9</v>
      </c>
      <c r="C102" s="1" t="s">
        <v>2</v>
      </c>
      <c r="D102">
        <v>2021</v>
      </c>
      <c r="E102">
        <v>110.3</v>
      </c>
    </row>
    <row r="103" spans="1:5" x14ac:dyDescent="0.3">
      <c r="A103" s="1" t="s">
        <v>0</v>
      </c>
      <c r="B103" s="1" t="s">
        <v>9</v>
      </c>
      <c r="C103" s="1" t="s">
        <v>2</v>
      </c>
      <c r="D103">
        <v>2022</v>
      </c>
      <c r="E103">
        <v>112</v>
      </c>
    </row>
    <row r="104" spans="1:5" x14ac:dyDescent="0.3">
      <c r="A104" s="1" t="s">
        <v>0</v>
      </c>
      <c r="B104" s="1" t="s">
        <v>9</v>
      </c>
      <c r="C104" s="1" t="s">
        <v>2</v>
      </c>
      <c r="D104">
        <v>2023</v>
      </c>
      <c r="E104">
        <v>119.3</v>
      </c>
    </row>
    <row r="105" spans="1:5" x14ac:dyDescent="0.3">
      <c r="A105" s="1" t="s">
        <v>0</v>
      </c>
      <c r="B105" s="1" t="s">
        <v>9</v>
      </c>
      <c r="C105" s="1" t="s">
        <v>3</v>
      </c>
      <c r="D105">
        <v>2016</v>
      </c>
      <c r="E105">
        <v>101.5</v>
      </c>
    </row>
    <row r="106" spans="1:5" x14ac:dyDescent="0.3">
      <c r="A106" s="1" t="s">
        <v>0</v>
      </c>
      <c r="B106" s="1" t="s">
        <v>9</v>
      </c>
      <c r="C106" s="1" t="s">
        <v>3</v>
      </c>
      <c r="D106">
        <v>2017</v>
      </c>
      <c r="E106">
        <v>105.8</v>
      </c>
    </row>
    <row r="107" spans="1:5" x14ac:dyDescent="0.3">
      <c r="A107" s="1" t="s">
        <v>0</v>
      </c>
      <c r="B107" s="1" t="s">
        <v>9</v>
      </c>
      <c r="C107" s="1" t="s">
        <v>3</v>
      </c>
      <c r="D107">
        <v>2018</v>
      </c>
      <c r="E107">
        <v>109.6</v>
      </c>
    </row>
    <row r="108" spans="1:5" x14ac:dyDescent="0.3">
      <c r="A108" s="1" t="s">
        <v>0</v>
      </c>
      <c r="B108" s="1" t="s">
        <v>9</v>
      </c>
      <c r="C108" s="1" t="s">
        <v>3</v>
      </c>
      <c r="D108">
        <v>2019</v>
      </c>
      <c r="E108">
        <v>112.2</v>
      </c>
    </row>
    <row r="109" spans="1:5" x14ac:dyDescent="0.3">
      <c r="A109" s="1" t="s">
        <v>0</v>
      </c>
      <c r="B109" s="1" t="s">
        <v>9</v>
      </c>
      <c r="C109" s="1" t="s">
        <v>3</v>
      </c>
      <c r="D109">
        <v>2020</v>
      </c>
      <c r="E109">
        <v>121.3</v>
      </c>
    </row>
    <row r="110" spans="1:5" x14ac:dyDescent="0.3">
      <c r="A110" s="1" t="s">
        <v>0</v>
      </c>
      <c r="B110" s="1" t="s">
        <v>9</v>
      </c>
      <c r="C110" s="1" t="s">
        <v>3</v>
      </c>
      <c r="D110">
        <v>2021</v>
      </c>
      <c r="E110">
        <v>121.7</v>
      </c>
    </row>
    <row r="111" spans="1:5" x14ac:dyDescent="0.3">
      <c r="A111" s="1" t="s">
        <v>0</v>
      </c>
      <c r="B111" s="1" t="s">
        <v>9</v>
      </c>
      <c r="C111" s="1" t="s">
        <v>3</v>
      </c>
      <c r="D111">
        <v>2022</v>
      </c>
      <c r="E111">
        <v>128.19999999999999</v>
      </c>
    </row>
    <row r="112" spans="1:5" x14ac:dyDescent="0.3">
      <c r="A112" s="1" t="s">
        <v>0</v>
      </c>
      <c r="B112" s="1" t="s">
        <v>9</v>
      </c>
      <c r="C112" s="1" t="s">
        <v>3</v>
      </c>
      <c r="D112">
        <v>2023</v>
      </c>
      <c r="E112">
        <v>136.30000000000001</v>
      </c>
    </row>
    <row r="113" spans="1:5" x14ac:dyDescent="0.3">
      <c r="A113" s="1" t="s">
        <v>0</v>
      </c>
      <c r="B113" s="1" t="s">
        <v>9</v>
      </c>
      <c r="C113" s="1" t="s">
        <v>4</v>
      </c>
      <c r="D113">
        <v>2016</v>
      </c>
      <c r="E113">
        <v>100.7</v>
      </c>
    </row>
    <row r="114" spans="1:5" x14ac:dyDescent="0.3">
      <c r="A114" s="1" t="s">
        <v>0</v>
      </c>
      <c r="B114" s="1" t="s">
        <v>9</v>
      </c>
      <c r="C114" s="1" t="s">
        <v>4</v>
      </c>
      <c r="D114">
        <v>2017</v>
      </c>
      <c r="E114">
        <v>100.5</v>
      </c>
    </row>
    <row r="115" spans="1:5" x14ac:dyDescent="0.3">
      <c r="A115" s="1" t="s">
        <v>0</v>
      </c>
      <c r="B115" s="1" t="s">
        <v>9</v>
      </c>
      <c r="C115" s="1" t="s">
        <v>4</v>
      </c>
      <c r="D115">
        <v>2018</v>
      </c>
      <c r="E115">
        <v>100.3</v>
      </c>
    </row>
    <row r="116" spans="1:5" x14ac:dyDescent="0.3">
      <c r="A116" s="1" t="s">
        <v>0</v>
      </c>
      <c r="B116" s="1" t="s">
        <v>9</v>
      </c>
      <c r="C116" s="1" t="s">
        <v>4</v>
      </c>
      <c r="D116">
        <v>2019</v>
      </c>
      <c r="E116">
        <v>110.7</v>
      </c>
    </row>
    <row r="117" spans="1:5" x14ac:dyDescent="0.3">
      <c r="A117" s="1" t="s">
        <v>0</v>
      </c>
      <c r="B117" s="1" t="s">
        <v>9</v>
      </c>
      <c r="C117" s="1" t="s">
        <v>4</v>
      </c>
      <c r="D117">
        <v>2020</v>
      </c>
      <c r="E117">
        <v>116.2</v>
      </c>
    </row>
    <row r="118" spans="1:5" x14ac:dyDescent="0.3">
      <c r="A118" s="1" t="s">
        <v>0</v>
      </c>
      <c r="B118" s="1" t="s">
        <v>9</v>
      </c>
      <c r="C118" s="1" t="s">
        <v>4</v>
      </c>
      <c r="D118">
        <v>2021</v>
      </c>
      <c r="E118">
        <v>116.5</v>
      </c>
    </row>
    <row r="119" spans="1:5" x14ac:dyDescent="0.3">
      <c r="A119" s="1" t="s">
        <v>0</v>
      </c>
      <c r="B119" s="1" t="s">
        <v>9</v>
      </c>
      <c r="C119" s="1" t="s">
        <v>4</v>
      </c>
      <c r="D119">
        <v>2022</v>
      </c>
      <c r="E119">
        <v>115.7</v>
      </c>
    </row>
    <row r="120" spans="1:5" x14ac:dyDescent="0.3">
      <c r="A120" s="1" t="s">
        <v>0</v>
      </c>
      <c r="B120" s="1" t="s">
        <v>9</v>
      </c>
      <c r="C120" s="1" t="s">
        <v>4</v>
      </c>
      <c r="D120">
        <v>2023</v>
      </c>
      <c r="E120">
        <v>119.5</v>
      </c>
    </row>
    <row r="121" spans="1:5" x14ac:dyDescent="0.3">
      <c r="A121" s="1" t="s">
        <v>0</v>
      </c>
      <c r="B121" s="1" t="s">
        <v>9</v>
      </c>
      <c r="C121" s="1" t="s">
        <v>5</v>
      </c>
      <c r="D121">
        <v>2016</v>
      </c>
      <c r="E121">
        <v>102.2</v>
      </c>
    </row>
    <row r="122" spans="1:5" x14ac:dyDescent="0.3">
      <c r="A122" s="1" t="s">
        <v>0</v>
      </c>
      <c r="B122" s="1" t="s">
        <v>9</v>
      </c>
      <c r="C122" s="1" t="s">
        <v>5</v>
      </c>
      <c r="D122">
        <v>2017</v>
      </c>
      <c r="E122">
        <v>106.2</v>
      </c>
    </row>
    <row r="123" spans="1:5" x14ac:dyDescent="0.3">
      <c r="A123" s="1" t="s">
        <v>0</v>
      </c>
      <c r="B123" s="1" t="s">
        <v>9</v>
      </c>
      <c r="C123" s="1" t="s">
        <v>5</v>
      </c>
      <c r="D123">
        <v>2018</v>
      </c>
      <c r="E123">
        <v>111.2</v>
      </c>
    </row>
    <row r="124" spans="1:5" x14ac:dyDescent="0.3">
      <c r="A124" s="1" t="s">
        <v>0</v>
      </c>
      <c r="B124" s="1" t="s">
        <v>9</v>
      </c>
      <c r="C124" s="1" t="s">
        <v>5</v>
      </c>
      <c r="D124">
        <v>2019</v>
      </c>
      <c r="E124">
        <v>114</v>
      </c>
    </row>
    <row r="125" spans="1:5" x14ac:dyDescent="0.3">
      <c r="A125" s="1" t="s">
        <v>0</v>
      </c>
      <c r="B125" s="1" t="s">
        <v>9</v>
      </c>
      <c r="C125" s="1" t="s">
        <v>5</v>
      </c>
      <c r="D125">
        <v>2020</v>
      </c>
      <c r="E125">
        <v>118.9</v>
      </c>
    </row>
    <row r="126" spans="1:5" x14ac:dyDescent="0.3">
      <c r="A126" s="1" t="s">
        <v>0</v>
      </c>
      <c r="B126" s="1" t="s">
        <v>9</v>
      </c>
      <c r="C126" s="1" t="s">
        <v>5</v>
      </c>
      <c r="D126">
        <v>2021</v>
      </c>
      <c r="E126">
        <v>124.8</v>
      </c>
    </row>
    <row r="127" spans="1:5" x14ac:dyDescent="0.3">
      <c r="A127" s="1" t="s">
        <v>0</v>
      </c>
      <c r="B127" s="1" t="s">
        <v>9</v>
      </c>
      <c r="C127" s="1" t="s">
        <v>5</v>
      </c>
      <c r="D127">
        <v>2022</v>
      </c>
      <c r="E127">
        <v>133.4</v>
      </c>
    </row>
    <row r="128" spans="1:5" x14ac:dyDescent="0.3">
      <c r="A128" s="1" t="s">
        <v>0</v>
      </c>
      <c r="B128" s="1" t="s">
        <v>9</v>
      </c>
      <c r="C128" s="1" t="s">
        <v>5</v>
      </c>
      <c r="D128">
        <v>2023</v>
      </c>
      <c r="E128">
        <v>142.4</v>
      </c>
    </row>
    <row r="129" spans="1:5" x14ac:dyDescent="0.3">
      <c r="A129" s="1" t="s">
        <v>0</v>
      </c>
      <c r="B129" s="1" t="s">
        <v>9</v>
      </c>
      <c r="C129" s="1" t="s">
        <v>6</v>
      </c>
      <c r="D129">
        <v>2016</v>
      </c>
      <c r="E129">
        <v>101.7</v>
      </c>
    </row>
    <row r="130" spans="1:5" x14ac:dyDescent="0.3">
      <c r="A130" s="1" t="s">
        <v>0</v>
      </c>
      <c r="B130" s="1" t="s">
        <v>9</v>
      </c>
      <c r="C130" s="1" t="s">
        <v>6</v>
      </c>
      <c r="D130">
        <v>2017</v>
      </c>
      <c r="E130">
        <v>105</v>
      </c>
    </row>
    <row r="131" spans="1:5" x14ac:dyDescent="0.3">
      <c r="A131" s="1" t="s">
        <v>0</v>
      </c>
      <c r="B131" s="1" t="s">
        <v>9</v>
      </c>
      <c r="C131" s="1" t="s">
        <v>6</v>
      </c>
      <c r="D131">
        <v>2018</v>
      </c>
      <c r="E131">
        <v>108.4</v>
      </c>
    </row>
    <row r="132" spans="1:5" x14ac:dyDescent="0.3">
      <c r="A132" s="1" t="s">
        <v>0</v>
      </c>
      <c r="B132" s="1" t="s">
        <v>9</v>
      </c>
      <c r="C132" s="1" t="s">
        <v>6</v>
      </c>
      <c r="D132">
        <v>2019</v>
      </c>
      <c r="E132">
        <v>109.9</v>
      </c>
    </row>
    <row r="133" spans="1:5" x14ac:dyDescent="0.3">
      <c r="A133" s="1" t="s">
        <v>0</v>
      </c>
      <c r="B133" s="1" t="s">
        <v>9</v>
      </c>
      <c r="C133" s="1" t="s">
        <v>6</v>
      </c>
      <c r="D133">
        <v>2020</v>
      </c>
      <c r="E133">
        <v>117.5</v>
      </c>
    </row>
    <row r="134" spans="1:5" x14ac:dyDescent="0.3">
      <c r="A134" s="1" t="s">
        <v>0</v>
      </c>
      <c r="B134" s="1" t="s">
        <v>9</v>
      </c>
      <c r="C134" s="1" t="s">
        <v>6</v>
      </c>
      <c r="D134">
        <v>2021</v>
      </c>
      <c r="E134">
        <v>118.3</v>
      </c>
    </row>
    <row r="135" spans="1:5" x14ac:dyDescent="0.3">
      <c r="A135" s="1" t="s">
        <v>0</v>
      </c>
      <c r="B135" s="1" t="s">
        <v>9</v>
      </c>
      <c r="C135" s="1" t="s">
        <v>6</v>
      </c>
      <c r="D135">
        <v>2022</v>
      </c>
      <c r="E135">
        <v>123.2</v>
      </c>
    </row>
    <row r="136" spans="1:5" x14ac:dyDescent="0.3">
      <c r="A136" s="1" t="s">
        <v>0</v>
      </c>
      <c r="B136" s="1" t="s">
        <v>9</v>
      </c>
      <c r="C136" s="1" t="s">
        <v>6</v>
      </c>
      <c r="D136">
        <v>2023</v>
      </c>
      <c r="E136">
        <v>132.6</v>
      </c>
    </row>
    <row r="137" spans="1:5" x14ac:dyDescent="0.3">
      <c r="A137" s="1" t="s">
        <v>0</v>
      </c>
      <c r="B137" s="1" t="s">
        <v>9</v>
      </c>
      <c r="C137" s="1" t="s">
        <v>7</v>
      </c>
      <c r="D137">
        <v>2016</v>
      </c>
      <c r="E137">
        <v>102</v>
      </c>
    </row>
    <row r="138" spans="1:5" x14ac:dyDescent="0.3">
      <c r="A138" s="1" t="s">
        <v>0</v>
      </c>
      <c r="B138" s="1" t="s">
        <v>9</v>
      </c>
      <c r="C138" s="1" t="s">
        <v>7</v>
      </c>
      <c r="D138">
        <v>2017</v>
      </c>
      <c r="E138">
        <v>104.7</v>
      </c>
    </row>
    <row r="139" spans="1:5" x14ac:dyDescent="0.3">
      <c r="A139" s="1" t="s">
        <v>0</v>
      </c>
      <c r="B139" s="1" t="s">
        <v>9</v>
      </c>
      <c r="C139" s="1" t="s">
        <v>7</v>
      </c>
      <c r="D139">
        <v>2018</v>
      </c>
      <c r="E139">
        <v>108.4</v>
      </c>
    </row>
    <row r="140" spans="1:5" x14ac:dyDescent="0.3">
      <c r="A140" s="1" t="s">
        <v>0</v>
      </c>
      <c r="B140" s="1" t="s">
        <v>9</v>
      </c>
      <c r="C140" s="1" t="s">
        <v>7</v>
      </c>
      <c r="D140">
        <v>2019</v>
      </c>
      <c r="E140">
        <v>112.5</v>
      </c>
    </row>
    <row r="141" spans="1:5" x14ac:dyDescent="0.3">
      <c r="A141" s="1" t="s">
        <v>0</v>
      </c>
      <c r="B141" s="1" t="s">
        <v>9</v>
      </c>
      <c r="C141" s="1" t="s">
        <v>7</v>
      </c>
      <c r="D141">
        <v>2020</v>
      </c>
      <c r="E141">
        <v>116.9</v>
      </c>
    </row>
    <row r="142" spans="1:5" x14ac:dyDescent="0.3">
      <c r="A142" s="1" t="s">
        <v>0</v>
      </c>
      <c r="B142" s="1" t="s">
        <v>9</v>
      </c>
      <c r="C142" s="1" t="s">
        <v>7</v>
      </c>
      <c r="D142">
        <v>2021</v>
      </c>
      <c r="E142">
        <v>119.9</v>
      </c>
    </row>
    <row r="143" spans="1:5" x14ac:dyDescent="0.3">
      <c r="A143" s="1" t="s">
        <v>0</v>
      </c>
      <c r="B143" s="1" t="s">
        <v>9</v>
      </c>
      <c r="C143" s="1" t="s">
        <v>7</v>
      </c>
      <c r="D143">
        <v>2022</v>
      </c>
      <c r="E143">
        <v>129.1</v>
      </c>
    </row>
    <row r="144" spans="1:5" x14ac:dyDescent="0.3">
      <c r="A144" s="1" t="s">
        <v>0</v>
      </c>
      <c r="B144" s="1" t="s">
        <v>9</v>
      </c>
      <c r="C144" s="1" t="s">
        <v>7</v>
      </c>
      <c r="D144">
        <v>2023</v>
      </c>
      <c r="E144">
        <v>137.69999999999999</v>
      </c>
    </row>
    <row r="145" spans="1:5" x14ac:dyDescent="0.3">
      <c r="A145" s="1" t="s">
        <v>10</v>
      </c>
      <c r="B145" s="1" t="s">
        <v>1</v>
      </c>
      <c r="C145" s="1" t="s">
        <v>2</v>
      </c>
      <c r="D145">
        <v>2016</v>
      </c>
      <c r="E145">
        <v>99.5</v>
      </c>
    </row>
    <row r="146" spans="1:5" x14ac:dyDescent="0.3">
      <c r="A146" s="1" t="s">
        <v>10</v>
      </c>
      <c r="B146" s="1" t="s">
        <v>1</v>
      </c>
      <c r="C146" s="1" t="s">
        <v>2</v>
      </c>
      <c r="D146">
        <v>2017</v>
      </c>
      <c r="E146">
        <v>100.1</v>
      </c>
    </row>
    <row r="147" spans="1:5" x14ac:dyDescent="0.3">
      <c r="A147" s="1" t="s">
        <v>10</v>
      </c>
      <c r="B147" s="1" t="s">
        <v>1</v>
      </c>
      <c r="C147" s="1" t="s">
        <v>2</v>
      </c>
      <c r="D147">
        <v>2018</v>
      </c>
      <c r="E147">
        <v>100.2</v>
      </c>
    </row>
    <row r="148" spans="1:5" x14ac:dyDescent="0.3">
      <c r="A148" s="1" t="s">
        <v>10</v>
      </c>
      <c r="B148" s="1" t="s">
        <v>1</v>
      </c>
      <c r="C148" s="1" t="s">
        <v>2</v>
      </c>
      <c r="D148">
        <v>2019</v>
      </c>
      <c r="E148">
        <v>100.9</v>
      </c>
    </row>
    <row r="149" spans="1:5" x14ac:dyDescent="0.3">
      <c r="A149" s="1" t="s">
        <v>10</v>
      </c>
      <c r="B149" s="1" t="s">
        <v>1</v>
      </c>
      <c r="C149" s="1" t="s">
        <v>2</v>
      </c>
      <c r="D149">
        <v>2020</v>
      </c>
      <c r="E149">
        <v>102.8</v>
      </c>
    </row>
    <row r="150" spans="1:5" x14ac:dyDescent="0.3">
      <c r="A150" s="1" t="s">
        <v>10</v>
      </c>
      <c r="B150" s="1" t="s">
        <v>1</v>
      </c>
      <c r="C150" s="1" t="s">
        <v>2</v>
      </c>
      <c r="D150">
        <v>2021</v>
      </c>
      <c r="E150">
        <v>108.8</v>
      </c>
    </row>
    <row r="151" spans="1:5" x14ac:dyDescent="0.3">
      <c r="A151" s="1" t="s">
        <v>10</v>
      </c>
      <c r="B151" s="1" t="s">
        <v>1</v>
      </c>
      <c r="C151" s="1" t="s">
        <v>2</v>
      </c>
      <c r="D151">
        <v>2022</v>
      </c>
      <c r="E151">
        <v>104.5</v>
      </c>
    </row>
    <row r="152" spans="1:5" x14ac:dyDescent="0.3">
      <c r="A152" s="1" t="s">
        <v>10</v>
      </c>
      <c r="B152" s="1" t="s">
        <v>1</v>
      </c>
      <c r="C152" s="1" t="s">
        <v>2</v>
      </c>
      <c r="D152">
        <v>2023</v>
      </c>
      <c r="E152">
        <v>98.1</v>
      </c>
    </row>
    <row r="153" spans="1:5" x14ac:dyDescent="0.3">
      <c r="A153" s="1" t="s">
        <v>10</v>
      </c>
      <c r="B153" s="1" t="s">
        <v>1</v>
      </c>
      <c r="C153" s="1" t="s">
        <v>3</v>
      </c>
      <c r="D153">
        <v>2016</v>
      </c>
      <c r="E153">
        <v>102.1</v>
      </c>
    </row>
    <row r="154" spans="1:5" x14ac:dyDescent="0.3">
      <c r="A154" s="1" t="s">
        <v>10</v>
      </c>
      <c r="B154" s="1" t="s">
        <v>1</v>
      </c>
      <c r="C154" s="1" t="s">
        <v>3</v>
      </c>
      <c r="D154">
        <v>2017</v>
      </c>
      <c r="E154">
        <v>105.8</v>
      </c>
    </row>
    <row r="155" spans="1:5" x14ac:dyDescent="0.3">
      <c r="A155" s="1" t="s">
        <v>10</v>
      </c>
      <c r="B155" s="1" t="s">
        <v>1</v>
      </c>
      <c r="C155" s="1" t="s">
        <v>3</v>
      </c>
      <c r="D155">
        <v>2018</v>
      </c>
      <c r="E155">
        <v>107.5</v>
      </c>
    </row>
    <row r="156" spans="1:5" x14ac:dyDescent="0.3">
      <c r="A156" s="1" t="s">
        <v>10</v>
      </c>
      <c r="B156" s="1" t="s">
        <v>1</v>
      </c>
      <c r="C156" s="1" t="s">
        <v>3</v>
      </c>
      <c r="D156">
        <v>2019</v>
      </c>
      <c r="E156">
        <v>111</v>
      </c>
    </row>
    <row r="157" spans="1:5" x14ac:dyDescent="0.3">
      <c r="A157" s="1" t="s">
        <v>10</v>
      </c>
      <c r="B157" s="1" t="s">
        <v>1</v>
      </c>
      <c r="C157" s="1" t="s">
        <v>3</v>
      </c>
      <c r="D157">
        <v>2020</v>
      </c>
      <c r="E157">
        <v>115.9</v>
      </c>
    </row>
    <row r="158" spans="1:5" x14ac:dyDescent="0.3">
      <c r="A158" s="1" t="s">
        <v>10</v>
      </c>
      <c r="B158" s="1" t="s">
        <v>1</v>
      </c>
      <c r="C158" s="1" t="s">
        <v>3</v>
      </c>
      <c r="D158">
        <v>2021</v>
      </c>
      <c r="E158">
        <v>116.7</v>
      </c>
    </row>
    <row r="159" spans="1:5" x14ac:dyDescent="0.3">
      <c r="A159" s="1" t="s">
        <v>10</v>
      </c>
      <c r="B159" s="1" t="s">
        <v>1</v>
      </c>
      <c r="C159" s="1" t="s">
        <v>3</v>
      </c>
      <c r="D159">
        <v>2022</v>
      </c>
      <c r="E159">
        <v>115.8</v>
      </c>
    </row>
    <row r="160" spans="1:5" x14ac:dyDescent="0.3">
      <c r="A160" s="1" t="s">
        <v>10</v>
      </c>
      <c r="B160" s="1" t="s">
        <v>1</v>
      </c>
      <c r="C160" s="1" t="s">
        <v>3</v>
      </c>
      <c r="D160">
        <v>2023</v>
      </c>
      <c r="E160">
        <v>112.2</v>
      </c>
    </row>
    <row r="161" spans="1:5" x14ac:dyDescent="0.3">
      <c r="A161" s="1" t="s">
        <v>10</v>
      </c>
      <c r="B161" s="1" t="s">
        <v>1</v>
      </c>
      <c r="C161" s="1" t="s">
        <v>4</v>
      </c>
      <c r="D161">
        <v>2016</v>
      </c>
      <c r="E161">
        <v>101.4</v>
      </c>
    </row>
    <row r="162" spans="1:5" x14ac:dyDescent="0.3">
      <c r="A162" s="1" t="s">
        <v>10</v>
      </c>
      <c r="B162" s="1" t="s">
        <v>1</v>
      </c>
      <c r="C162" s="1" t="s">
        <v>4</v>
      </c>
      <c r="D162">
        <v>2017</v>
      </c>
      <c r="E162">
        <v>102.2</v>
      </c>
    </row>
    <row r="163" spans="1:5" x14ac:dyDescent="0.3">
      <c r="A163" s="1" t="s">
        <v>10</v>
      </c>
      <c r="B163" s="1" t="s">
        <v>1</v>
      </c>
      <c r="C163" s="1" t="s">
        <v>4</v>
      </c>
      <c r="D163">
        <v>2018</v>
      </c>
      <c r="E163">
        <v>103.8</v>
      </c>
    </row>
    <row r="164" spans="1:5" x14ac:dyDescent="0.3">
      <c r="A164" s="1" t="s">
        <v>10</v>
      </c>
      <c r="B164" s="1" t="s">
        <v>1</v>
      </c>
      <c r="C164" s="1" t="s">
        <v>4</v>
      </c>
      <c r="D164">
        <v>2019</v>
      </c>
      <c r="E164">
        <v>104.4</v>
      </c>
    </row>
    <row r="165" spans="1:5" x14ac:dyDescent="0.3">
      <c r="A165" s="1" t="s">
        <v>10</v>
      </c>
      <c r="B165" s="1" t="s">
        <v>1</v>
      </c>
      <c r="C165" s="1" t="s">
        <v>4</v>
      </c>
      <c r="D165">
        <v>2020</v>
      </c>
      <c r="E165">
        <v>108</v>
      </c>
    </row>
    <row r="166" spans="1:5" x14ac:dyDescent="0.3">
      <c r="A166" s="1" t="s">
        <v>10</v>
      </c>
      <c r="B166" s="1" t="s">
        <v>1</v>
      </c>
      <c r="C166" s="1" t="s">
        <v>4</v>
      </c>
      <c r="D166">
        <v>2021</v>
      </c>
      <c r="E166">
        <v>112.4</v>
      </c>
    </row>
    <row r="167" spans="1:5" x14ac:dyDescent="0.3">
      <c r="A167" s="1" t="s">
        <v>10</v>
      </c>
      <c r="B167" s="1" t="s">
        <v>1</v>
      </c>
      <c r="C167" s="1" t="s">
        <v>4</v>
      </c>
      <c r="D167">
        <v>2022</v>
      </c>
      <c r="E167">
        <v>106.9</v>
      </c>
    </row>
    <row r="168" spans="1:5" x14ac:dyDescent="0.3">
      <c r="A168" s="1" t="s">
        <v>10</v>
      </c>
      <c r="B168" s="1" t="s">
        <v>1</v>
      </c>
      <c r="C168" s="1" t="s">
        <v>4</v>
      </c>
      <c r="D168">
        <v>2023</v>
      </c>
      <c r="E168">
        <v>105.5</v>
      </c>
    </row>
    <row r="169" spans="1:5" x14ac:dyDescent="0.3">
      <c r="A169" s="1" t="s">
        <v>10</v>
      </c>
      <c r="B169" s="1" t="s">
        <v>1</v>
      </c>
      <c r="C169" s="1" t="s">
        <v>5</v>
      </c>
      <c r="D169">
        <v>2016</v>
      </c>
      <c r="E169">
        <v>103</v>
      </c>
    </row>
    <row r="170" spans="1:5" x14ac:dyDescent="0.3">
      <c r="A170" s="1" t="s">
        <v>10</v>
      </c>
      <c r="B170" s="1" t="s">
        <v>1</v>
      </c>
      <c r="C170" s="1" t="s">
        <v>5</v>
      </c>
      <c r="D170">
        <v>2017</v>
      </c>
      <c r="E170">
        <v>106.7</v>
      </c>
    </row>
    <row r="171" spans="1:5" x14ac:dyDescent="0.3">
      <c r="A171" s="1" t="s">
        <v>10</v>
      </c>
      <c r="B171" s="1" t="s">
        <v>1</v>
      </c>
      <c r="C171" s="1" t="s">
        <v>5</v>
      </c>
      <c r="D171">
        <v>2018</v>
      </c>
      <c r="E171">
        <v>109.7</v>
      </c>
    </row>
    <row r="172" spans="1:5" x14ac:dyDescent="0.3">
      <c r="A172" s="1" t="s">
        <v>10</v>
      </c>
      <c r="B172" s="1" t="s">
        <v>1</v>
      </c>
      <c r="C172" s="1" t="s">
        <v>5</v>
      </c>
      <c r="D172">
        <v>2019</v>
      </c>
      <c r="E172">
        <v>112.7</v>
      </c>
    </row>
    <row r="173" spans="1:5" x14ac:dyDescent="0.3">
      <c r="A173" s="1" t="s">
        <v>10</v>
      </c>
      <c r="B173" s="1" t="s">
        <v>1</v>
      </c>
      <c r="C173" s="1" t="s">
        <v>5</v>
      </c>
      <c r="D173">
        <v>2020</v>
      </c>
      <c r="E173">
        <v>110.5</v>
      </c>
    </row>
    <row r="174" spans="1:5" x14ac:dyDescent="0.3">
      <c r="A174" s="1" t="s">
        <v>10</v>
      </c>
      <c r="B174" s="1" t="s">
        <v>1</v>
      </c>
      <c r="C174" s="1" t="s">
        <v>5</v>
      </c>
      <c r="D174">
        <v>2021</v>
      </c>
      <c r="E174">
        <v>121.4</v>
      </c>
    </row>
    <row r="175" spans="1:5" x14ac:dyDescent="0.3">
      <c r="A175" s="1" t="s">
        <v>10</v>
      </c>
      <c r="B175" s="1" t="s">
        <v>1</v>
      </c>
      <c r="C175" s="1" t="s">
        <v>5</v>
      </c>
      <c r="D175">
        <v>2022</v>
      </c>
      <c r="E175">
        <v>125.4</v>
      </c>
    </row>
    <row r="176" spans="1:5" x14ac:dyDescent="0.3">
      <c r="A176" s="1" t="s">
        <v>10</v>
      </c>
      <c r="B176" s="1" t="s">
        <v>1</v>
      </c>
      <c r="C176" s="1" t="s">
        <v>5</v>
      </c>
      <c r="D176">
        <v>2023</v>
      </c>
      <c r="E176">
        <v>123.2</v>
      </c>
    </row>
    <row r="177" spans="1:5" x14ac:dyDescent="0.3">
      <c r="A177" s="1" t="s">
        <v>10</v>
      </c>
      <c r="B177" s="1" t="s">
        <v>1</v>
      </c>
      <c r="C177" s="1" t="s">
        <v>6</v>
      </c>
      <c r="D177">
        <v>2016</v>
      </c>
      <c r="E177">
        <v>101.5</v>
      </c>
    </row>
    <row r="178" spans="1:5" x14ac:dyDescent="0.3">
      <c r="A178" s="1" t="s">
        <v>10</v>
      </c>
      <c r="B178" s="1" t="s">
        <v>1</v>
      </c>
      <c r="C178" s="1" t="s">
        <v>6</v>
      </c>
      <c r="D178">
        <v>2017</v>
      </c>
      <c r="E178">
        <v>104.7</v>
      </c>
    </row>
    <row r="179" spans="1:5" x14ac:dyDescent="0.3">
      <c r="A179" s="1" t="s">
        <v>10</v>
      </c>
      <c r="B179" s="1" t="s">
        <v>1</v>
      </c>
      <c r="C179" s="1" t="s">
        <v>6</v>
      </c>
      <c r="D179">
        <v>2018</v>
      </c>
      <c r="E179">
        <v>107.8</v>
      </c>
    </row>
    <row r="180" spans="1:5" x14ac:dyDescent="0.3">
      <c r="A180" s="1" t="s">
        <v>10</v>
      </c>
      <c r="B180" s="1" t="s">
        <v>1</v>
      </c>
      <c r="C180" s="1" t="s">
        <v>6</v>
      </c>
      <c r="D180">
        <v>2019</v>
      </c>
      <c r="E180">
        <v>110</v>
      </c>
    </row>
    <row r="181" spans="1:5" x14ac:dyDescent="0.3">
      <c r="A181" s="1" t="s">
        <v>10</v>
      </c>
      <c r="B181" s="1" t="s">
        <v>1</v>
      </c>
      <c r="C181" s="1" t="s">
        <v>6</v>
      </c>
      <c r="D181">
        <v>2020</v>
      </c>
      <c r="E181">
        <v>112.7</v>
      </c>
    </row>
    <row r="182" spans="1:5" x14ac:dyDescent="0.3">
      <c r="A182" s="1" t="s">
        <v>10</v>
      </c>
      <c r="B182" s="1" t="s">
        <v>1</v>
      </c>
      <c r="C182" s="1" t="s">
        <v>6</v>
      </c>
      <c r="D182">
        <v>2021</v>
      </c>
      <c r="E182">
        <v>115.8</v>
      </c>
    </row>
    <row r="183" spans="1:5" x14ac:dyDescent="0.3">
      <c r="A183" s="1" t="s">
        <v>10</v>
      </c>
      <c r="B183" s="1" t="s">
        <v>1</v>
      </c>
      <c r="C183" s="1" t="s">
        <v>6</v>
      </c>
      <c r="D183">
        <v>2022</v>
      </c>
      <c r="E183">
        <v>116.2</v>
      </c>
    </row>
    <row r="184" spans="1:5" x14ac:dyDescent="0.3">
      <c r="A184" s="1" t="s">
        <v>10</v>
      </c>
      <c r="B184" s="1" t="s">
        <v>1</v>
      </c>
      <c r="C184" s="1" t="s">
        <v>6</v>
      </c>
      <c r="D184">
        <v>2023</v>
      </c>
      <c r="E184">
        <v>113.7</v>
      </c>
    </row>
    <row r="185" spans="1:5" x14ac:dyDescent="0.3">
      <c r="A185" s="1" t="s">
        <v>10</v>
      </c>
      <c r="B185" s="1" t="s">
        <v>1</v>
      </c>
      <c r="C185" s="1" t="s">
        <v>7</v>
      </c>
      <c r="D185">
        <v>2016</v>
      </c>
      <c r="E185">
        <v>102.2</v>
      </c>
    </row>
    <row r="186" spans="1:5" x14ac:dyDescent="0.3">
      <c r="A186" s="1" t="s">
        <v>10</v>
      </c>
      <c r="B186" s="1" t="s">
        <v>1</v>
      </c>
      <c r="C186" s="1" t="s">
        <v>7</v>
      </c>
      <c r="D186">
        <v>2017</v>
      </c>
      <c r="E186">
        <v>104.1</v>
      </c>
    </row>
    <row r="187" spans="1:5" x14ac:dyDescent="0.3">
      <c r="A187" s="1" t="s">
        <v>10</v>
      </c>
      <c r="B187" s="1" t="s">
        <v>1</v>
      </c>
      <c r="C187" s="1" t="s">
        <v>7</v>
      </c>
      <c r="D187">
        <v>2018</v>
      </c>
      <c r="E187">
        <v>105.6</v>
      </c>
    </row>
    <row r="188" spans="1:5" x14ac:dyDescent="0.3">
      <c r="A188" s="1" t="s">
        <v>10</v>
      </c>
      <c r="B188" s="1" t="s">
        <v>1</v>
      </c>
      <c r="C188" s="1" t="s">
        <v>7</v>
      </c>
      <c r="D188">
        <v>2019</v>
      </c>
      <c r="E188">
        <v>107.7</v>
      </c>
    </row>
    <row r="189" spans="1:5" x14ac:dyDescent="0.3">
      <c r="A189" s="1" t="s">
        <v>10</v>
      </c>
      <c r="B189" s="1" t="s">
        <v>1</v>
      </c>
      <c r="C189" s="1" t="s">
        <v>7</v>
      </c>
      <c r="D189">
        <v>2020</v>
      </c>
      <c r="E189">
        <v>108.3</v>
      </c>
    </row>
    <row r="190" spans="1:5" x14ac:dyDescent="0.3">
      <c r="A190" s="1" t="s">
        <v>10</v>
      </c>
      <c r="B190" s="1" t="s">
        <v>1</v>
      </c>
      <c r="C190" s="1" t="s">
        <v>7</v>
      </c>
      <c r="D190">
        <v>2021</v>
      </c>
      <c r="E190">
        <v>115.2</v>
      </c>
    </row>
    <row r="191" spans="1:5" x14ac:dyDescent="0.3">
      <c r="A191" s="1" t="s">
        <v>10</v>
      </c>
      <c r="B191" s="1" t="s">
        <v>1</v>
      </c>
      <c r="C191" s="1" t="s">
        <v>7</v>
      </c>
      <c r="D191">
        <v>2022</v>
      </c>
      <c r="E191">
        <v>113.5</v>
      </c>
    </row>
    <row r="192" spans="1:5" x14ac:dyDescent="0.3">
      <c r="A192" s="1" t="s">
        <v>10</v>
      </c>
      <c r="B192" s="1" t="s">
        <v>1</v>
      </c>
      <c r="C192" s="1" t="s">
        <v>7</v>
      </c>
      <c r="D192">
        <v>2023</v>
      </c>
      <c r="E192">
        <v>107.6</v>
      </c>
    </row>
    <row r="193" spans="1:5" x14ac:dyDescent="0.3">
      <c r="A193" s="1" t="s">
        <v>10</v>
      </c>
      <c r="B193" s="1" t="s">
        <v>8</v>
      </c>
      <c r="C193" s="1" t="s">
        <v>2</v>
      </c>
      <c r="D193">
        <v>2016</v>
      </c>
      <c r="E193">
        <v>99.8</v>
      </c>
    </row>
    <row r="194" spans="1:5" x14ac:dyDescent="0.3">
      <c r="A194" s="1" t="s">
        <v>10</v>
      </c>
      <c r="B194" s="1" t="s">
        <v>8</v>
      </c>
      <c r="C194" s="1" t="s">
        <v>2</v>
      </c>
      <c r="D194">
        <v>2017</v>
      </c>
      <c r="E194">
        <v>99</v>
      </c>
    </row>
    <row r="195" spans="1:5" x14ac:dyDescent="0.3">
      <c r="A195" s="1" t="s">
        <v>10</v>
      </c>
      <c r="B195" s="1" t="s">
        <v>8</v>
      </c>
      <c r="C195" s="1" t="s">
        <v>2</v>
      </c>
      <c r="D195">
        <v>2018</v>
      </c>
      <c r="E195">
        <v>98.3</v>
      </c>
    </row>
    <row r="196" spans="1:5" x14ac:dyDescent="0.3">
      <c r="A196" s="1" t="s">
        <v>10</v>
      </c>
      <c r="B196" s="1" t="s">
        <v>8</v>
      </c>
      <c r="C196" s="1" t="s">
        <v>2</v>
      </c>
      <c r="D196">
        <v>2019</v>
      </c>
      <c r="E196">
        <v>98.1</v>
      </c>
    </row>
    <row r="197" spans="1:5" x14ac:dyDescent="0.3">
      <c r="A197" s="1" t="s">
        <v>10</v>
      </c>
      <c r="B197" s="1" t="s">
        <v>8</v>
      </c>
      <c r="C197" s="1" t="s">
        <v>2</v>
      </c>
      <c r="D197">
        <v>2020</v>
      </c>
      <c r="E197">
        <v>103.5</v>
      </c>
    </row>
    <row r="198" spans="1:5" x14ac:dyDescent="0.3">
      <c r="A198" s="1" t="s">
        <v>10</v>
      </c>
      <c r="B198" s="1" t="s">
        <v>8</v>
      </c>
      <c r="C198" s="1" t="s">
        <v>2</v>
      </c>
      <c r="D198">
        <v>2021</v>
      </c>
      <c r="E198">
        <v>102.7</v>
      </c>
    </row>
    <row r="199" spans="1:5" x14ac:dyDescent="0.3">
      <c r="A199" s="1" t="s">
        <v>10</v>
      </c>
      <c r="B199" s="1" t="s">
        <v>8</v>
      </c>
      <c r="C199" s="1" t="s">
        <v>2</v>
      </c>
      <c r="D199">
        <v>2022</v>
      </c>
      <c r="E199">
        <v>95.3</v>
      </c>
    </row>
    <row r="200" spans="1:5" x14ac:dyDescent="0.3">
      <c r="A200" s="1" t="s">
        <v>10</v>
      </c>
      <c r="B200" s="1" t="s">
        <v>8</v>
      </c>
      <c r="C200" s="1" t="s">
        <v>2</v>
      </c>
      <c r="D200">
        <v>2023</v>
      </c>
      <c r="E200">
        <v>90</v>
      </c>
    </row>
    <row r="201" spans="1:5" x14ac:dyDescent="0.3">
      <c r="A201" s="1" t="s">
        <v>10</v>
      </c>
      <c r="B201" s="1" t="s">
        <v>8</v>
      </c>
      <c r="C201" s="1" t="s">
        <v>3</v>
      </c>
      <c r="D201">
        <v>2016</v>
      </c>
      <c r="E201">
        <v>100.8</v>
      </c>
    </row>
    <row r="202" spans="1:5" x14ac:dyDescent="0.3">
      <c r="A202" s="1" t="s">
        <v>10</v>
      </c>
      <c r="B202" s="1" t="s">
        <v>8</v>
      </c>
      <c r="C202" s="1" t="s">
        <v>3</v>
      </c>
      <c r="D202">
        <v>2017</v>
      </c>
      <c r="E202">
        <v>103.2</v>
      </c>
    </row>
    <row r="203" spans="1:5" x14ac:dyDescent="0.3">
      <c r="A203" s="1" t="s">
        <v>10</v>
      </c>
      <c r="B203" s="1" t="s">
        <v>8</v>
      </c>
      <c r="C203" s="1" t="s">
        <v>3</v>
      </c>
      <c r="D203">
        <v>2018</v>
      </c>
      <c r="E203">
        <v>104.8</v>
      </c>
    </row>
    <row r="204" spans="1:5" x14ac:dyDescent="0.3">
      <c r="A204" s="1" t="s">
        <v>10</v>
      </c>
      <c r="B204" s="1" t="s">
        <v>8</v>
      </c>
      <c r="C204" s="1" t="s">
        <v>3</v>
      </c>
      <c r="D204">
        <v>2019</v>
      </c>
      <c r="E204">
        <v>106.4</v>
      </c>
    </row>
    <row r="205" spans="1:5" x14ac:dyDescent="0.3">
      <c r="A205" s="1" t="s">
        <v>10</v>
      </c>
      <c r="B205" s="1" t="s">
        <v>8</v>
      </c>
      <c r="C205" s="1" t="s">
        <v>3</v>
      </c>
      <c r="D205">
        <v>2020</v>
      </c>
      <c r="E205">
        <v>111.1</v>
      </c>
    </row>
    <row r="206" spans="1:5" x14ac:dyDescent="0.3">
      <c r="A206" s="1" t="s">
        <v>10</v>
      </c>
      <c r="B206" s="1" t="s">
        <v>8</v>
      </c>
      <c r="C206" s="1" t="s">
        <v>3</v>
      </c>
      <c r="D206">
        <v>2021</v>
      </c>
      <c r="E206">
        <v>109</v>
      </c>
    </row>
    <row r="207" spans="1:5" x14ac:dyDescent="0.3">
      <c r="A207" s="1" t="s">
        <v>10</v>
      </c>
      <c r="B207" s="1" t="s">
        <v>8</v>
      </c>
      <c r="C207" s="1" t="s">
        <v>3</v>
      </c>
      <c r="D207">
        <v>2022</v>
      </c>
      <c r="E207">
        <v>105.1</v>
      </c>
    </row>
    <row r="208" spans="1:5" x14ac:dyDescent="0.3">
      <c r="A208" s="1" t="s">
        <v>10</v>
      </c>
      <c r="B208" s="1" t="s">
        <v>8</v>
      </c>
      <c r="C208" s="1" t="s">
        <v>3</v>
      </c>
      <c r="D208">
        <v>2023</v>
      </c>
      <c r="E208">
        <v>101.6</v>
      </c>
    </row>
    <row r="209" spans="1:5" x14ac:dyDescent="0.3">
      <c r="A209" s="1" t="s">
        <v>10</v>
      </c>
      <c r="B209" s="1" t="s">
        <v>8</v>
      </c>
      <c r="C209" s="1" t="s">
        <v>4</v>
      </c>
      <c r="D209">
        <v>2016</v>
      </c>
      <c r="E209">
        <v>99.7</v>
      </c>
    </row>
    <row r="210" spans="1:5" x14ac:dyDescent="0.3">
      <c r="A210" s="1" t="s">
        <v>10</v>
      </c>
      <c r="B210" s="1" t="s">
        <v>8</v>
      </c>
      <c r="C210" s="1" t="s">
        <v>4</v>
      </c>
      <c r="D210">
        <v>2017</v>
      </c>
      <c r="E210">
        <v>98.6</v>
      </c>
    </row>
    <row r="211" spans="1:5" x14ac:dyDescent="0.3">
      <c r="A211" s="1" t="s">
        <v>10</v>
      </c>
      <c r="B211" s="1" t="s">
        <v>8</v>
      </c>
      <c r="C211" s="1" t="s">
        <v>4</v>
      </c>
      <c r="D211">
        <v>2018</v>
      </c>
      <c r="E211">
        <v>99.1</v>
      </c>
    </row>
    <row r="212" spans="1:5" x14ac:dyDescent="0.3">
      <c r="A212" s="1" t="s">
        <v>10</v>
      </c>
      <c r="B212" s="1" t="s">
        <v>8</v>
      </c>
      <c r="C212" s="1" t="s">
        <v>4</v>
      </c>
      <c r="D212">
        <v>2019</v>
      </c>
      <c r="E212">
        <v>99.9</v>
      </c>
    </row>
    <row r="213" spans="1:5" x14ac:dyDescent="0.3">
      <c r="A213" s="1" t="s">
        <v>10</v>
      </c>
      <c r="B213" s="1" t="s">
        <v>8</v>
      </c>
      <c r="C213" s="1" t="s">
        <v>4</v>
      </c>
      <c r="D213">
        <v>2020</v>
      </c>
      <c r="E213">
        <v>103.6</v>
      </c>
    </row>
    <row r="214" spans="1:5" x14ac:dyDescent="0.3">
      <c r="A214" s="1" t="s">
        <v>10</v>
      </c>
      <c r="B214" s="1" t="s">
        <v>8</v>
      </c>
      <c r="C214" s="1" t="s">
        <v>4</v>
      </c>
      <c r="D214">
        <v>2021</v>
      </c>
      <c r="E214">
        <v>103.5</v>
      </c>
    </row>
    <row r="215" spans="1:5" x14ac:dyDescent="0.3">
      <c r="A215" s="1" t="s">
        <v>10</v>
      </c>
      <c r="B215" s="1" t="s">
        <v>8</v>
      </c>
      <c r="C215" s="1" t="s">
        <v>4</v>
      </c>
      <c r="D215">
        <v>2022</v>
      </c>
      <c r="E215">
        <v>96.7</v>
      </c>
    </row>
    <row r="216" spans="1:5" x14ac:dyDescent="0.3">
      <c r="A216" s="1" t="s">
        <v>10</v>
      </c>
      <c r="B216" s="1" t="s">
        <v>8</v>
      </c>
      <c r="C216" s="1" t="s">
        <v>4</v>
      </c>
      <c r="D216">
        <v>2023</v>
      </c>
      <c r="E216">
        <v>94.7</v>
      </c>
    </row>
    <row r="217" spans="1:5" x14ac:dyDescent="0.3">
      <c r="A217" s="1" t="s">
        <v>10</v>
      </c>
      <c r="B217" s="1" t="s">
        <v>8</v>
      </c>
      <c r="C217" s="1" t="s">
        <v>5</v>
      </c>
      <c r="D217">
        <v>2016</v>
      </c>
      <c r="E217">
        <v>101.7</v>
      </c>
    </row>
    <row r="218" spans="1:5" x14ac:dyDescent="0.3">
      <c r="A218" s="1" t="s">
        <v>10</v>
      </c>
      <c r="B218" s="1" t="s">
        <v>8</v>
      </c>
      <c r="C218" s="1" t="s">
        <v>5</v>
      </c>
      <c r="D218">
        <v>2017</v>
      </c>
      <c r="E218">
        <v>105</v>
      </c>
    </row>
    <row r="219" spans="1:5" x14ac:dyDescent="0.3">
      <c r="A219" s="1" t="s">
        <v>10</v>
      </c>
      <c r="B219" s="1" t="s">
        <v>8</v>
      </c>
      <c r="C219" s="1" t="s">
        <v>5</v>
      </c>
      <c r="D219">
        <v>2018</v>
      </c>
      <c r="E219">
        <v>108.7</v>
      </c>
    </row>
    <row r="220" spans="1:5" x14ac:dyDescent="0.3">
      <c r="A220" s="1" t="s">
        <v>10</v>
      </c>
      <c r="B220" s="1" t="s">
        <v>8</v>
      </c>
      <c r="C220" s="1" t="s">
        <v>5</v>
      </c>
      <c r="D220">
        <v>2019</v>
      </c>
      <c r="E220">
        <v>109.4</v>
      </c>
    </row>
    <row r="221" spans="1:5" x14ac:dyDescent="0.3">
      <c r="A221" s="1" t="s">
        <v>10</v>
      </c>
      <c r="B221" s="1" t="s">
        <v>8</v>
      </c>
      <c r="C221" s="1" t="s">
        <v>5</v>
      </c>
      <c r="D221">
        <v>2020</v>
      </c>
      <c r="E221">
        <v>110.7</v>
      </c>
    </row>
    <row r="222" spans="1:5" x14ac:dyDescent="0.3">
      <c r="A222" s="1" t="s">
        <v>10</v>
      </c>
      <c r="B222" s="1" t="s">
        <v>8</v>
      </c>
      <c r="C222" s="1" t="s">
        <v>5</v>
      </c>
      <c r="D222">
        <v>2021</v>
      </c>
      <c r="E222">
        <v>116.1</v>
      </c>
    </row>
    <row r="223" spans="1:5" x14ac:dyDescent="0.3">
      <c r="A223" s="1" t="s">
        <v>10</v>
      </c>
      <c r="B223" s="1" t="s">
        <v>8</v>
      </c>
      <c r="C223" s="1" t="s">
        <v>5</v>
      </c>
      <c r="D223">
        <v>2022</v>
      </c>
      <c r="E223">
        <v>118.6</v>
      </c>
    </row>
    <row r="224" spans="1:5" x14ac:dyDescent="0.3">
      <c r="A224" s="1" t="s">
        <v>10</v>
      </c>
      <c r="B224" s="1" t="s">
        <v>8</v>
      </c>
      <c r="C224" s="1" t="s">
        <v>6</v>
      </c>
      <c r="D224">
        <v>2016</v>
      </c>
      <c r="E224">
        <v>100.3</v>
      </c>
    </row>
    <row r="225" spans="1:5" x14ac:dyDescent="0.3">
      <c r="A225" s="1" t="s">
        <v>10</v>
      </c>
      <c r="B225" s="1" t="s">
        <v>8</v>
      </c>
      <c r="C225" s="1" t="s">
        <v>6</v>
      </c>
      <c r="D225">
        <v>2017</v>
      </c>
      <c r="E225">
        <v>102</v>
      </c>
    </row>
    <row r="226" spans="1:5" x14ac:dyDescent="0.3">
      <c r="A226" s="1" t="s">
        <v>10</v>
      </c>
      <c r="B226" s="1" t="s">
        <v>8</v>
      </c>
      <c r="C226" s="1" t="s">
        <v>6</v>
      </c>
      <c r="D226">
        <v>2018</v>
      </c>
      <c r="E226">
        <v>105.1</v>
      </c>
    </row>
    <row r="227" spans="1:5" x14ac:dyDescent="0.3">
      <c r="A227" s="1" t="s">
        <v>10</v>
      </c>
      <c r="B227" s="1" t="s">
        <v>8</v>
      </c>
      <c r="C227" s="1" t="s">
        <v>6</v>
      </c>
      <c r="D227">
        <v>2019</v>
      </c>
      <c r="E227">
        <v>106</v>
      </c>
    </row>
    <row r="228" spans="1:5" x14ac:dyDescent="0.3">
      <c r="A228" s="1" t="s">
        <v>10</v>
      </c>
      <c r="B228" s="1" t="s">
        <v>8</v>
      </c>
      <c r="C228" s="1" t="s">
        <v>6</v>
      </c>
      <c r="D228">
        <v>2020</v>
      </c>
      <c r="E228">
        <v>109.2</v>
      </c>
    </row>
    <row r="229" spans="1:5" x14ac:dyDescent="0.3">
      <c r="A229" s="1" t="s">
        <v>10</v>
      </c>
      <c r="B229" s="1" t="s">
        <v>8</v>
      </c>
      <c r="C229" s="1" t="s">
        <v>6</v>
      </c>
      <c r="D229">
        <v>2021</v>
      </c>
      <c r="E229">
        <v>108.5</v>
      </c>
    </row>
    <row r="230" spans="1:5" x14ac:dyDescent="0.3">
      <c r="A230" s="1" t="s">
        <v>10</v>
      </c>
      <c r="B230" s="1" t="s">
        <v>8</v>
      </c>
      <c r="C230" s="1" t="s">
        <v>6</v>
      </c>
      <c r="D230">
        <v>2022</v>
      </c>
      <c r="E230">
        <v>106.1</v>
      </c>
    </row>
    <row r="231" spans="1:5" x14ac:dyDescent="0.3">
      <c r="A231" s="1" t="s">
        <v>10</v>
      </c>
      <c r="B231" s="1" t="s">
        <v>8</v>
      </c>
      <c r="C231" s="1" t="s">
        <v>6</v>
      </c>
      <c r="D231">
        <v>2023</v>
      </c>
      <c r="E231">
        <v>103.9</v>
      </c>
    </row>
    <row r="232" spans="1:5" x14ac:dyDescent="0.3">
      <c r="A232" s="1" t="s">
        <v>10</v>
      </c>
      <c r="B232" s="1" t="s">
        <v>8</v>
      </c>
      <c r="C232" s="1" t="s">
        <v>7</v>
      </c>
      <c r="D232">
        <v>2016</v>
      </c>
      <c r="E232">
        <v>101</v>
      </c>
    </row>
    <row r="233" spans="1:5" x14ac:dyDescent="0.3">
      <c r="A233" s="1" t="s">
        <v>10</v>
      </c>
      <c r="B233" s="1" t="s">
        <v>8</v>
      </c>
      <c r="C233" s="1" t="s">
        <v>7</v>
      </c>
      <c r="D233">
        <v>2017</v>
      </c>
      <c r="E233">
        <v>101.3</v>
      </c>
    </row>
    <row r="234" spans="1:5" x14ac:dyDescent="0.3">
      <c r="A234" s="1" t="s">
        <v>10</v>
      </c>
      <c r="B234" s="1" t="s">
        <v>8</v>
      </c>
      <c r="C234" s="1" t="s">
        <v>7</v>
      </c>
      <c r="D234">
        <v>2018</v>
      </c>
      <c r="E234">
        <v>102.7</v>
      </c>
    </row>
    <row r="235" spans="1:5" x14ac:dyDescent="0.3">
      <c r="A235" s="1" t="s">
        <v>10</v>
      </c>
      <c r="B235" s="1" t="s">
        <v>8</v>
      </c>
      <c r="C235" s="1" t="s">
        <v>7</v>
      </c>
      <c r="D235">
        <v>2019</v>
      </c>
      <c r="E235">
        <v>103.8</v>
      </c>
    </row>
    <row r="236" spans="1:5" x14ac:dyDescent="0.3">
      <c r="A236" s="1" t="s">
        <v>10</v>
      </c>
      <c r="B236" s="1" t="s">
        <v>8</v>
      </c>
      <c r="C236" s="1" t="s">
        <v>7</v>
      </c>
      <c r="D236">
        <v>2020</v>
      </c>
      <c r="E236">
        <v>104.8</v>
      </c>
    </row>
    <row r="237" spans="1:5" x14ac:dyDescent="0.3">
      <c r="A237" s="1" t="s">
        <v>10</v>
      </c>
      <c r="B237" s="1" t="s">
        <v>8</v>
      </c>
      <c r="C237" s="1" t="s">
        <v>7</v>
      </c>
      <c r="D237">
        <v>2021</v>
      </c>
      <c r="E237">
        <v>107.2</v>
      </c>
    </row>
    <row r="238" spans="1:5" x14ac:dyDescent="0.3">
      <c r="A238" s="1" t="s">
        <v>10</v>
      </c>
      <c r="B238" s="1" t="s">
        <v>8</v>
      </c>
      <c r="C238" s="1" t="s">
        <v>7</v>
      </c>
      <c r="D238">
        <v>2022</v>
      </c>
      <c r="E238">
        <v>105.1</v>
      </c>
    </row>
    <row r="239" spans="1:5" x14ac:dyDescent="0.3">
      <c r="A239" s="1" t="s">
        <v>10</v>
      </c>
      <c r="B239" s="1" t="s">
        <v>8</v>
      </c>
      <c r="C239" s="1" t="s">
        <v>7</v>
      </c>
      <c r="D239">
        <v>2023</v>
      </c>
      <c r="E239">
        <v>101.2</v>
      </c>
    </row>
    <row r="240" spans="1:5" x14ac:dyDescent="0.3">
      <c r="A240" s="1" t="s">
        <v>10</v>
      </c>
      <c r="B240" s="1" t="s">
        <v>9</v>
      </c>
      <c r="C240" s="1" t="s">
        <v>2</v>
      </c>
      <c r="D240">
        <v>2016</v>
      </c>
      <c r="E240">
        <v>99.4</v>
      </c>
    </row>
    <row r="241" spans="1:5" x14ac:dyDescent="0.3">
      <c r="A241" s="1" t="s">
        <v>10</v>
      </c>
      <c r="B241" s="1" t="s">
        <v>9</v>
      </c>
      <c r="C241" s="1" t="s">
        <v>2</v>
      </c>
      <c r="D241">
        <v>2017</v>
      </c>
      <c r="E241">
        <v>98.4</v>
      </c>
    </row>
    <row r="242" spans="1:5" x14ac:dyDescent="0.3">
      <c r="A242" s="1" t="s">
        <v>10</v>
      </c>
      <c r="B242" s="1" t="s">
        <v>9</v>
      </c>
      <c r="C242" s="1" t="s">
        <v>2</v>
      </c>
      <c r="D242">
        <v>2018</v>
      </c>
      <c r="E242">
        <v>97.7</v>
      </c>
    </row>
    <row r="243" spans="1:5" x14ac:dyDescent="0.3">
      <c r="A243" s="1" t="s">
        <v>10</v>
      </c>
      <c r="B243" s="1" t="s">
        <v>9</v>
      </c>
      <c r="C243" s="1" t="s">
        <v>2</v>
      </c>
      <c r="D243">
        <v>2019</v>
      </c>
      <c r="E243">
        <v>97.3</v>
      </c>
    </row>
    <row r="244" spans="1:5" x14ac:dyDescent="0.3">
      <c r="A244" s="1" t="s">
        <v>10</v>
      </c>
      <c r="B244" s="1" t="s">
        <v>9</v>
      </c>
      <c r="C244" s="1" t="s">
        <v>2</v>
      </c>
      <c r="D244">
        <v>2020</v>
      </c>
      <c r="E244">
        <v>102.9</v>
      </c>
    </row>
    <row r="245" spans="1:5" x14ac:dyDescent="0.3">
      <c r="A245" s="1" t="s">
        <v>10</v>
      </c>
      <c r="B245" s="1" t="s">
        <v>9</v>
      </c>
      <c r="C245" s="1" t="s">
        <v>2</v>
      </c>
      <c r="D245">
        <v>2021</v>
      </c>
      <c r="E245">
        <v>101.2</v>
      </c>
    </row>
    <row r="246" spans="1:5" x14ac:dyDescent="0.3">
      <c r="A246" s="1" t="s">
        <v>10</v>
      </c>
      <c r="B246" s="1" t="s">
        <v>9</v>
      </c>
      <c r="C246" s="1" t="s">
        <v>2</v>
      </c>
      <c r="D246">
        <v>2022</v>
      </c>
      <c r="E246">
        <v>93.7</v>
      </c>
    </row>
    <row r="247" spans="1:5" x14ac:dyDescent="0.3">
      <c r="A247" s="1" t="s">
        <v>10</v>
      </c>
      <c r="B247" s="1" t="s">
        <v>9</v>
      </c>
      <c r="C247" s="1" t="s">
        <v>2</v>
      </c>
      <c r="D247">
        <v>2023</v>
      </c>
      <c r="E247">
        <v>87.6</v>
      </c>
    </row>
    <row r="248" spans="1:5" x14ac:dyDescent="0.3">
      <c r="A248" s="1" t="s">
        <v>10</v>
      </c>
      <c r="B248" s="1" t="s">
        <v>9</v>
      </c>
      <c r="C248" s="1" t="s">
        <v>3</v>
      </c>
      <c r="D248">
        <v>2016</v>
      </c>
      <c r="E248">
        <v>100.8</v>
      </c>
    </row>
    <row r="249" spans="1:5" x14ac:dyDescent="0.3">
      <c r="A249" s="1" t="s">
        <v>10</v>
      </c>
      <c r="B249" s="1" t="s">
        <v>9</v>
      </c>
      <c r="C249" s="1" t="s">
        <v>3</v>
      </c>
      <c r="D249">
        <v>2017</v>
      </c>
      <c r="E249">
        <v>102.9</v>
      </c>
    </row>
    <row r="250" spans="1:5" x14ac:dyDescent="0.3">
      <c r="A250" s="1" t="s">
        <v>10</v>
      </c>
      <c r="B250" s="1" t="s">
        <v>9</v>
      </c>
      <c r="C250" s="1" t="s">
        <v>3</v>
      </c>
      <c r="D250">
        <v>2018</v>
      </c>
      <c r="E250">
        <v>104.5</v>
      </c>
    </row>
    <row r="251" spans="1:5" x14ac:dyDescent="0.3">
      <c r="A251" s="1" t="s">
        <v>10</v>
      </c>
      <c r="B251" s="1" t="s">
        <v>9</v>
      </c>
      <c r="C251" s="1" t="s">
        <v>3</v>
      </c>
      <c r="D251">
        <v>2019</v>
      </c>
      <c r="E251">
        <v>106.1</v>
      </c>
    </row>
    <row r="252" spans="1:5" x14ac:dyDescent="0.3">
      <c r="A252" s="1" t="s">
        <v>10</v>
      </c>
      <c r="B252" s="1" t="s">
        <v>9</v>
      </c>
      <c r="C252" s="1" t="s">
        <v>3</v>
      </c>
      <c r="D252">
        <v>2020</v>
      </c>
      <c r="E252">
        <v>111.7</v>
      </c>
    </row>
    <row r="253" spans="1:5" x14ac:dyDescent="0.3">
      <c r="A253" s="1" t="s">
        <v>10</v>
      </c>
      <c r="B253" s="1" t="s">
        <v>9</v>
      </c>
      <c r="C253" s="1" t="s">
        <v>3</v>
      </c>
      <c r="D253">
        <v>2021</v>
      </c>
      <c r="E253">
        <v>109.9</v>
      </c>
    </row>
    <row r="254" spans="1:5" x14ac:dyDescent="0.3">
      <c r="A254" s="1" t="s">
        <v>10</v>
      </c>
      <c r="B254" s="1" t="s">
        <v>9</v>
      </c>
      <c r="C254" s="1" t="s">
        <v>3</v>
      </c>
      <c r="D254">
        <v>2022</v>
      </c>
      <c r="E254">
        <v>104.6</v>
      </c>
    </row>
    <row r="255" spans="1:5" x14ac:dyDescent="0.3">
      <c r="A255" s="1" t="s">
        <v>10</v>
      </c>
      <c r="B255" s="1" t="s">
        <v>9</v>
      </c>
      <c r="C255" s="1" t="s">
        <v>3</v>
      </c>
      <c r="D255">
        <v>2023</v>
      </c>
      <c r="E255">
        <v>100.9</v>
      </c>
    </row>
    <row r="256" spans="1:5" x14ac:dyDescent="0.3">
      <c r="A256" s="1" t="s">
        <v>10</v>
      </c>
      <c r="B256" s="1" t="s">
        <v>9</v>
      </c>
      <c r="C256" s="1" t="s">
        <v>4</v>
      </c>
      <c r="D256">
        <v>2016</v>
      </c>
      <c r="E256">
        <v>100.8</v>
      </c>
    </row>
    <row r="257" spans="1:5" x14ac:dyDescent="0.3">
      <c r="A257" s="1" t="s">
        <v>10</v>
      </c>
      <c r="B257" s="1" t="s">
        <v>9</v>
      </c>
      <c r="C257" s="1" t="s">
        <v>4</v>
      </c>
      <c r="D257">
        <v>2017</v>
      </c>
      <c r="E257">
        <v>98.9</v>
      </c>
    </row>
    <row r="258" spans="1:5" x14ac:dyDescent="0.3">
      <c r="A258" s="1" t="s">
        <v>10</v>
      </c>
      <c r="B258" s="1" t="s">
        <v>9</v>
      </c>
      <c r="C258" s="1" t="s">
        <v>4</v>
      </c>
      <c r="D258">
        <v>2018</v>
      </c>
      <c r="E258">
        <v>98.9</v>
      </c>
    </row>
    <row r="259" spans="1:5" x14ac:dyDescent="0.3">
      <c r="A259" s="1" t="s">
        <v>10</v>
      </c>
      <c r="B259" s="1" t="s">
        <v>9</v>
      </c>
      <c r="C259" s="1" t="s">
        <v>4</v>
      </c>
      <c r="D259">
        <v>2019</v>
      </c>
      <c r="E259">
        <v>107.9</v>
      </c>
    </row>
    <row r="260" spans="1:5" x14ac:dyDescent="0.3">
      <c r="A260" s="1" t="s">
        <v>10</v>
      </c>
      <c r="B260" s="1" t="s">
        <v>9</v>
      </c>
      <c r="C260" s="1" t="s">
        <v>4</v>
      </c>
      <c r="D260">
        <v>2020</v>
      </c>
      <c r="E260">
        <v>111.4</v>
      </c>
    </row>
    <row r="261" spans="1:5" x14ac:dyDescent="0.3">
      <c r="A261" s="1" t="s">
        <v>10</v>
      </c>
      <c r="B261" s="1" t="s">
        <v>9</v>
      </c>
      <c r="C261" s="1" t="s">
        <v>4</v>
      </c>
      <c r="D261">
        <v>2021</v>
      </c>
      <c r="E261">
        <v>109.4</v>
      </c>
    </row>
    <row r="262" spans="1:5" x14ac:dyDescent="0.3">
      <c r="A262" s="1" t="s">
        <v>10</v>
      </c>
      <c r="B262" s="1" t="s">
        <v>9</v>
      </c>
      <c r="C262" s="1" t="s">
        <v>4</v>
      </c>
      <c r="D262">
        <v>2022</v>
      </c>
      <c r="E262">
        <v>99.1</v>
      </c>
    </row>
    <row r="263" spans="1:5" x14ac:dyDescent="0.3">
      <c r="A263" s="1" t="s">
        <v>10</v>
      </c>
      <c r="B263" s="1" t="s">
        <v>9</v>
      </c>
      <c r="C263" s="1" t="s">
        <v>4</v>
      </c>
      <c r="D263">
        <v>2023</v>
      </c>
      <c r="E263">
        <v>94.9</v>
      </c>
    </row>
    <row r="264" spans="1:5" x14ac:dyDescent="0.3">
      <c r="A264" s="1" t="s">
        <v>10</v>
      </c>
      <c r="B264" s="1" t="s">
        <v>9</v>
      </c>
      <c r="C264" s="1" t="s">
        <v>5</v>
      </c>
      <c r="D264">
        <v>2016</v>
      </c>
      <c r="E264">
        <v>102.4</v>
      </c>
    </row>
    <row r="265" spans="1:5" x14ac:dyDescent="0.3">
      <c r="A265" s="1" t="s">
        <v>10</v>
      </c>
      <c r="B265" s="1" t="s">
        <v>9</v>
      </c>
      <c r="C265" s="1" t="s">
        <v>5</v>
      </c>
      <c r="D265">
        <v>2017</v>
      </c>
      <c r="E265">
        <v>105.7</v>
      </c>
    </row>
    <row r="266" spans="1:5" x14ac:dyDescent="0.3">
      <c r="A266" s="1" t="s">
        <v>10</v>
      </c>
      <c r="B266" s="1" t="s">
        <v>9</v>
      </c>
      <c r="C266" s="1" t="s">
        <v>5</v>
      </c>
      <c r="D266">
        <v>2018</v>
      </c>
      <c r="E266">
        <v>109.4</v>
      </c>
    </row>
    <row r="267" spans="1:5" x14ac:dyDescent="0.3">
      <c r="A267" s="1" t="s">
        <v>10</v>
      </c>
      <c r="B267" s="1" t="s">
        <v>9</v>
      </c>
      <c r="C267" s="1" t="s">
        <v>5</v>
      </c>
      <c r="D267">
        <v>2019</v>
      </c>
      <c r="E267">
        <v>110</v>
      </c>
    </row>
    <row r="268" spans="1:5" x14ac:dyDescent="0.3">
      <c r="A268" s="1" t="s">
        <v>10</v>
      </c>
      <c r="B268" s="1" t="s">
        <v>9</v>
      </c>
      <c r="C268" s="1" t="s">
        <v>5</v>
      </c>
      <c r="D268">
        <v>2020</v>
      </c>
      <c r="E268">
        <v>113.5</v>
      </c>
    </row>
    <row r="269" spans="1:5" x14ac:dyDescent="0.3">
      <c r="A269" s="1" t="s">
        <v>10</v>
      </c>
      <c r="B269" s="1" t="s">
        <v>9</v>
      </c>
      <c r="C269" s="1" t="s">
        <v>5</v>
      </c>
      <c r="D269">
        <v>2021</v>
      </c>
      <c r="E269">
        <v>118.9</v>
      </c>
    </row>
    <row r="270" spans="1:5" x14ac:dyDescent="0.3">
      <c r="A270" s="1" t="s">
        <v>10</v>
      </c>
      <c r="B270" s="1" t="s">
        <v>9</v>
      </c>
      <c r="C270" s="1" t="s">
        <v>5</v>
      </c>
      <c r="D270">
        <v>2022</v>
      </c>
      <c r="E270">
        <v>119.6</v>
      </c>
    </row>
    <row r="271" spans="1:5" x14ac:dyDescent="0.3">
      <c r="A271" s="1" t="s">
        <v>10</v>
      </c>
      <c r="B271" s="1" t="s">
        <v>9</v>
      </c>
      <c r="C271" s="1" t="s">
        <v>5</v>
      </c>
      <c r="D271">
        <v>2023</v>
      </c>
      <c r="E271">
        <v>114.4</v>
      </c>
    </row>
    <row r="272" spans="1:5" x14ac:dyDescent="0.3">
      <c r="A272" s="1" t="s">
        <v>10</v>
      </c>
      <c r="B272" s="1" t="s">
        <v>9</v>
      </c>
      <c r="C272" s="1" t="s">
        <v>6</v>
      </c>
      <c r="D272">
        <v>2016</v>
      </c>
      <c r="E272">
        <v>100.7</v>
      </c>
    </row>
    <row r="273" spans="1:5" x14ac:dyDescent="0.3">
      <c r="A273" s="1" t="s">
        <v>10</v>
      </c>
      <c r="B273" s="1" t="s">
        <v>9</v>
      </c>
      <c r="C273" s="1" t="s">
        <v>6</v>
      </c>
      <c r="D273">
        <v>2017</v>
      </c>
      <c r="E273">
        <v>101.7</v>
      </c>
    </row>
    <row r="274" spans="1:5" x14ac:dyDescent="0.3">
      <c r="A274" s="1" t="s">
        <v>10</v>
      </c>
      <c r="B274" s="1" t="s">
        <v>9</v>
      </c>
      <c r="C274" s="1" t="s">
        <v>6</v>
      </c>
      <c r="D274">
        <v>2018</v>
      </c>
      <c r="E274">
        <v>104</v>
      </c>
    </row>
    <row r="275" spans="1:5" x14ac:dyDescent="0.3">
      <c r="A275" s="1" t="s">
        <v>10</v>
      </c>
      <c r="B275" s="1" t="s">
        <v>9</v>
      </c>
      <c r="C275" s="1" t="s">
        <v>6</v>
      </c>
      <c r="D275">
        <v>2019</v>
      </c>
      <c r="E275">
        <v>104.2</v>
      </c>
    </row>
    <row r="276" spans="1:5" x14ac:dyDescent="0.3">
      <c r="A276" s="1" t="s">
        <v>10</v>
      </c>
      <c r="B276" s="1" t="s">
        <v>9</v>
      </c>
      <c r="C276" s="1" t="s">
        <v>6</v>
      </c>
      <c r="D276">
        <v>2020</v>
      </c>
      <c r="E276">
        <v>108.7</v>
      </c>
    </row>
    <row r="277" spans="1:5" x14ac:dyDescent="0.3">
      <c r="A277" s="1" t="s">
        <v>10</v>
      </c>
      <c r="B277" s="1" t="s">
        <v>9</v>
      </c>
      <c r="C277" s="1" t="s">
        <v>6</v>
      </c>
      <c r="D277">
        <v>2021</v>
      </c>
      <c r="E277">
        <v>109.1</v>
      </c>
    </row>
    <row r="278" spans="1:5" x14ac:dyDescent="0.3">
      <c r="A278" s="1" t="s">
        <v>10</v>
      </c>
      <c r="B278" s="1" t="s">
        <v>9</v>
      </c>
      <c r="C278" s="1" t="s">
        <v>6</v>
      </c>
      <c r="D278">
        <v>2022</v>
      </c>
      <c r="E278">
        <v>104</v>
      </c>
    </row>
    <row r="279" spans="1:5" x14ac:dyDescent="0.3">
      <c r="A279" s="1" t="s">
        <v>10</v>
      </c>
      <c r="B279" s="1" t="s">
        <v>9</v>
      </c>
      <c r="C279" s="1" t="s">
        <v>6</v>
      </c>
      <c r="D279">
        <v>2023</v>
      </c>
      <c r="E279">
        <v>100.9</v>
      </c>
    </row>
    <row r="280" spans="1:5" x14ac:dyDescent="0.3">
      <c r="A280" s="1" t="s">
        <v>10</v>
      </c>
      <c r="B280" s="1" t="s">
        <v>9</v>
      </c>
      <c r="C280" s="1" t="s">
        <v>7</v>
      </c>
      <c r="D280">
        <v>2016</v>
      </c>
      <c r="E280">
        <v>100.8</v>
      </c>
    </row>
    <row r="281" spans="1:5" x14ac:dyDescent="0.3">
      <c r="A281" s="1" t="s">
        <v>10</v>
      </c>
      <c r="B281" s="1" t="s">
        <v>9</v>
      </c>
      <c r="C281" s="1" t="s">
        <v>7</v>
      </c>
      <c r="D281">
        <v>2017</v>
      </c>
      <c r="E281">
        <v>101.3</v>
      </c>
    </row>
    <row r="282" spans="1:5" x14ac:dyDescent="0.3">
      <c r="A282" s="1" t="s">
        <v>10</v>
      </c>
      <c r="B282" s="1" t="s">
        <v>9</v>
      </c>
      <c r="C282" s="1" t="s">
        <v>7</v>
      </c>
      <c r="D282">
        <v>2018</v>
      </c>
      <c r="E282">
        <v>102.6</v>
      </c>
    </row>
    <row r="283" spans="1:5" x14ac:dyDescent="0.3">
      <c r="A283" s="1" t="s">
        <v>10</v>
      </c>
      <c r="B283" s="1" t="s">
        <v>9</v>
      </c>
      <c r="C283" s="1" t="s">
        <v>7</v>
      </c>
      <c r="D283">
        <v>2019</v>
      </c>
      <c r="E283">
        <v>103.7</v>
      </c>
    </row>
    <row r="284" spans="1:5" x14ac:dyDescent="0.3">
      <c r="A284" s="1" t="s">
        <v>10</v>
      </c>
      <c r="B284" s="1" t="s">
        <v>9</v>
      </c>
      <c r="C284" s="1" t="s">
        <v>7</v>
      </c>
      <c r="D284">
        <v>2020</v>
      </c>
      <c r="E284">
        <v>105.4</v>
      </c>
    </row>
    <row r="285" spans="1:5" x14ac:dyDescent="0.3">
      <c r="A285" s="1" t="s">
        <v>10</v>
      </c>
      <c r="B285" s="1" t="s">
        <v>9</v>
      </c>
      <c r="C285" s="1" t="s">
        <v>7</v>
      </c>
      <c r="D285">
        <v>2021</v>
      </c>
      <c r="E285">
        <v>107.2</v>
      </c>
    </row>
    <row r="286" spans="1:5" x14ac:dyDescent="0.3">
      <c r="A286" s="1" t="s">
        <v>10</v>
      </c>
      <c r="B286" s="1" t="s">
        <v>9</v>
      </c>
      <c r="C286" s="1" t="s">
        <v>7</v>
      </c>
      <c r="D286">
        <v>2022</v>
      </c>
      <c r="E286">
        <v>105.2</v>
      </c>
    </row>
    <row r="287" spans="1:5" x14ac:dyDescent="0.3">
      <c r="A287" s="1" t="s">
        <v>10</v>
      </c>
      <c r="B287" s="1" t="s">
        <v>9</v>
      </c>
      <c r="C287" s="1" t="s">
        <v>7</v>
      </c>
      <c r="D287">
        <v>2023</v>
      </c>
      <c r="E287">
        <v>101.1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17C5-9442-4F17-9733-58A1C1695A0C}">
  <dimension ref="A3:AB12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15.6640625" bestFit="1" customWidth="1"/>
    <col min="3" max="3" width="17.5546875" bestFit="1" customWidth="1"/>
    <col min="4" max="4" width="10.77734375" bestFit="1" customWidth="1"/>
    <col min="5" max="5" width="15.6640625" bestFit="1" customWidth="1"/>
    <col min="6" max="6" width="17.5546875" bestFit="1" customWidth="1"/>
    <col min="7" max="7" width="12.6640625" bestFit="1" customWidth="1"/>
    <col min="8" max="8" width="15.6640625" bestFit="1" customWidth="1"/>
    <col min="9" max="9" width="17.5546875" bestFit="1" customWidth="1"/>
    <col min="10" max="10" width="12.6640625" bestFit="1" customWidth="1"/>
    <col min="11" max="11" width="15.6640625" bestFit="1" customWidth="1"/>
    <col min="12" max="12" width="17.5546875" bestFit="1" customWidth="1"/>
    <col min="13" max="13" width="12.6640625" bestFit="1" customWidth="1"/>
    <col min="14" max="14" width="15.6640625" bestFit="1" customWidth="1"/>
    <col min="15" max="15" width="17.5546875" bestFit="1" customWidth="1"/>
    <col min="16" max="16" width="12" bestFit="1" customWidth="1"/>
    <col min="17" max="17" width="15.6640625" bestFit="1" customWidth="1"/>
    <col min="18" max="18" width="17.5546875" bestFit="1" customWidth="1"/>
    <col min="19" max="19" width="12.6640625" bestFit="1" customWidth="1"/>
    <col min="20" max="20" width="15.6640625" bestFit="1" customWidth="1"/>
    <col min="21" max="21" width="17.5546875" bestFit="1" customWidth="1"/>
    <col min="22" max="22" width="12.6640625" bestFit="1" customWidth="1"/>
    <col min="23" max="23" width="15.6640625" bestFit="1" customWidth="1"/>
    <col min="24" max="24" width="17.5546875" bestFit="1" customWidth="1"/>
    <col min="25" max="25" width="12.6640625" bestFit="1" customWidth="1"/>
    <col min="26" max="26" width="20.44140625" bestFit="1" customWidth="1"/>
    <col min="27" max="27" width="22.33203125" bestFit="1" customWidth="1"/>
    <col min="28" max="28" width="15.5546875" bestFit="1" customWidth="1"/>
  </cols>
  <sheetData>
    <row r="3" spans="1:28" x14ac:dyDescent="0.3">
      <c r="B3" s="2" t="s">
        <v>21</v>
      </c>
    </row>
    <row r="4" spans="1:28" x14ac:dyDescent="0.3">
      <c r="B4">
        <v>2016</v>
      </c>
      <c r="E4">
        <v>2017</v>
      </c>
      <c r="H4">
        <v>2018</v>
      </c>
      <c r="K4">
        <v>2019</v>
      </c>
      <c r="N4">
        <v>2020</v>
      </c>
      <c r="Q4">
        <v>2021</v>
      </c>
      <c r="T4">
        <v>2022</v>
      </c>
      <c r="W4">
        <v>2023</v>
      </c>
      <c r="Z4" t="s">
        <v>23</v>
      </c>
      <c r="AA4" t="s">
        <v>24</v>
      </c>
      <c r="AB4" t="s">
        <v>26</v>
      </c>
    </row>
    <row r="5" spans="1:28" x14ac:dyDescent="0.3">
      <c r="A5" s="2" t="s">
        <v>19</v>
      </c>
      <c r="B5" t="s">
        <v>22</v>
      </c>
      <c r="C5" t="s">
        <v>25</v>
      </c>
      <c r="D5" t="s">
        <v>27</v>
      </c>
      <c r="E5" t="s">
        <v>22</v>
      </c>
      <c r="F5" t="s">
        <v>25</v>
      </c>
      <c r="G5" t="s">
        <v>27</v>
      </c>
      <c r="H5" t="s">
        <v>22</v>
      </c>
      <c r="I5" t="s">
        <v>25</v>
      </c>
      <c r="J5" t="s">
        <v>27</v>
      </c>
      <c r="K5" t="s">
        <v>22</v>
      </c>
      <c r="L5" t="s">
        <v>25</v>
      </c>
      <c r="M5" t="s">
        <v>27</v>
      </c>
      <c r="N5" t="s">
        <v>22</v>
      </c>
      <c r="O5" t="s">
        <v>25</v>
      </c>
      <c r="P5" t="s">
        <v>27</v>
      </c>
      <c r="Q5" t="s">
        <v>22</v>
      </c>
      <c r="R5" t="s">
        <v>25</v>
      </c>
      <c r="S5" t="s">
        <v>27</v>
      </c>
      <c r="T5" t="s">
        <v>22</v>
      </c>
      <c r="U5" t="s">
        <v>25</v>
      </c>
      <c r="V5" t="s">
        <v>27</v>
      </c>
      <c r="W5" t="s">
        <v>22</v>
      </c>
      <c r="X5" t="s">
        <v>25</v>
      </c>
      <c r="Y5" t="s">
        <v>27</v>
      </c>
    </row>
    <row r="6" spans="1:28" x14ac:dyDescent="0.3">
      <c r="A6" s="3" t="s">
        <v>2</v>
      </c>
      <c r="B6" s="1">
        <v>100.9</v>
      </c>
      <c r="C6" s="1">
        <v>99.4</v>
      </c>
      <c r="D6" s="1"/>
      <c r="E6" s="1">
        <v>101.9</v>
      </c>
      <c r="F6" s="1">
        <v>98.4</v>
      </c>
      <c r="G6" s="1">
        <v>-1.0060362173038229E-2</v>
      </c>
      <c r="H6" s="1">
        <v>103.3</v>
      </c>
      <c r="I6" s="1">
        <v>97.7</v>
      </c>
      <c r="J6" s="1">
        <v>-7.1138211382114104E-3</v>
      </c>
      <c r="K6" s="1">
        <v>104.4</v>
      </c>
      <c r="L6" s="1">
        <v>97.3</v>
      </c>
      <c r="M6" s="1">
        <v>-4.0941658137155137E-3</v>
      </c>
      <c r="N6" s="1">
        <v>112</v>
      </c>
      <c r="O6" s="1">
        <v>102.9</v>
      </c>
      <c r="P6" s="1">
        <v>5.755395683453246E-2</v>
      </c>
      <c r="Q6" s="1">
        <v>110.3</v>
      </c>
      <c r="R6" s="1">
        <v>101.2</v>
      </c>
      <c r="S6" s="1">
        <v>-1.6520894071914507E-2</v>
      </c>
      <c r="T6" s="1">
        <v>112</v>
      </c>
      <c r="U6" s="1">
        <v>93.7</v>
      </c>
      <c r="V6" s="1">
        <v>-7.4110671936758896E-2</v>
      </c>
      <c r="W6" s="1">
        <v>119.3</v>
      </c>
      <c r="X6" s="1">
        <v>87.6</v>
      </c>
      <c r="Y6" s="1">
        <v>-6.5101387406616945E-2</v>
      </c>
      <c r="Z6" s="1">
        <v>864.1</v>
      </c>
      <c r="AA6" s="1">
        <v>778.2</v>
      </c>
      <c r="AB6" s="1">
        <v>7.3052294557097115</v>
      </c>
    </row>
    <row r="7" spans="1:28" x14ac:dyDescent="0.3">
      <c r="A7" s="3" t="s">
        <v>3</v>
      </c>
      <c r="B7" s="1">
        <v>101.5</v>
      </c>
      <c r="C7" s="1">
        <v>100.8</v>
      </c>
      <c r="D7" s="1"/>
      <c r="E7" s="1">
        <v>105.8</v>
      </c>
      <c r="F7" s="1">
        <v>102.9</v>
      </c>
      <c r="G7" s="1">
        <v>2.0833333333333419E-2</v>
      </c>
      <c r="H7" s="1">
        <v>109.6</v>
      </c>
      <c r="I7" s="1">
        <v>104.5</v>
      </c>
      <c r="J7" s="1">
        <v>1.5549076773566513E-2</v>
      </c>
      <c r="K7" s="1">
        <v>112.2</v>
      </c>
      <c r="L7" s="1">
        <v>106.1</v>
      </c>
      <c r="M7" s="1">
        <v>1.531100478468894E-2</v>
      </c>
      <c r="N7" s="1">
        <v>121.3</v>
      </c>
      <c r="O7" s="1">
        <v>111.7</v>
      </c>
      <c r="P7" s="1">
        <v>5.2780395852968981E-2</v>
      </c>
      <c r="Q7" s="1">
        <v>121.7</v>
      </c>
      <c r="R7" s="1">
        <v>109.9</v>
      </c>
      <c r="S7" s="1">
        <v>-1.6114592658907762E-2</v>
      </c>
      <c r="T7" s="1">
        <v>128.19999999999999</v>
      </c>
      <c r="U7" s="1">
        <v>104.6</v>
      </c>
      <c r="V7" s="1">
        <v>-4.8225659690627948E-2</v>
      </c>
      <c r="W7" s="1">
        <v>136.30000000000001</v>
      </c>
      <c r="X7" s="1">
        <v>100.9</v>
      </c>
      <c r="Y7" s="1">
        <v>-3.5372848948374655E-2</v>
      </c>
      <c r="Z7" s="1">
        <v>936.6</v>
      </c>
      <c r="AA7" s="1">
        <v>841.4</v>
      </c>
      <c r="AB7" s="1">
        <v>7.0439770554493304</v>
      </c>
    </row>
    <row r="8" spans="1:28" x14ac:dyDescent="0.3">
      <c r="A8" s="3" t="s">
        <v>4</v>
      </c>
      <c r="B8" s="1">
        <v>100.7</v>
      </c>
      <c r="C8" s="1">
        <v>100.8</v>
      </c>
      <c r="D8" s="1"/>
      <c r="E8" s="1">
        <v>100.5</v>
      </c>
      <c r="F8" s="1">
        <v>98.9</v>
      </c>
      <c r="G8" s="1">
        <v>-1.8849206349206265E-2</v>
      </c>
      <c r="H8" s="1">
        <v>100.3</v>
      </c>
      <c r="I8" s="1">
        <v>98.9</v>
      </c>
      <c r="J8" s="1">
        <v>0</v>
      </c>
      <c r="K8" s="1">
        <v>110.7</v>
      </c>
      <c r="L8" s="1">
        <v>107.9</v>
      </c>
      <c r="M8" s="1">
        <v>9.1001011122345793E-2</v>
      </c>
      <c r="N8" s="1">
        <v>116.2</v>
      </c>
      <c r="O8" s="1">
        <v>111.4</v>
      </c>
      <c r="P8" s="1">
        <v>3.2437442075996289E-2</v>
      </c>
      <c r="Q8" s="1">
        <v>116.5</v>
      </c>
      <c r="R8" s="1">
        <v>109.4</v>
      </c>
      <c r="S8" s="1">
        <v>-1.7953321364452424E-2</v>
      </c>
      <c r="T8" s="1">
        <v>115.7</v>
      </c>
      <c r="U8" s="1">
        <v>99.1</v>
      </c>
      <c r="V8" s="1">
        <v>-9.4149908592321849E-2</v>
      </c>
      <c r="W8" s="1">
        <v>119.5</v>
      </c>
      <c r="X8" s="1">
        <v>94.9</v>
      </c>
      <c r="Y8" s="1">
        <v>-4.2381432896064469E-2</v>
      </c>
      <c r="Z8" s="1">
        <v>880.1</v>
      </c>
      <c r="AA8" s="1">
        <v>821.3</v>
      </c>
      <c r="AB8" s="1">
        <v>7.2875882946518669</v>
      </c>
    </row>
    <row r="9" spans="1:28" x14ac:dyDescent="0.3">
      <c r="A9" s="3" t="s">
        <v>5</v>
      </c>
      <c r="B9" s="1">
        <v>102.2</v>
      </c>
      <c r="C9" s="1">
        <v>102.4</v>
      </c>
      <c r="D9" s="1"/>
      <c r="E9" s="1">
        <v>106.2</v>
      </c>
      <c r="F9" s="1">
        <v>105.7</v>
      </c>
      <c r="G9" s="1">
        <v>3.2226562499999972E-2</v>
      </c>
      <c r="H9" s="1">
        <v>111.2</v>
      </c>
      <c r="I9" s="1">
        <v>109.4</v>
      </c>
      <c r="J9" s="1">
        <v>3.5004730368968805E-2</v>
      </c>
      <c r="K9" s="1">
        <v>114</v>
      </c>
      <c r="L9" s="1">
        <v>110</v>
      </c>
      <c r="M9" s="1">
        <v>5.4844606946983024E-3</v>
      </c>
      <c r="N9" s="1">
        <v>118.9</v>
      </c>
      <c r="O9" s="1">
        <v>113.5</v>
      </c>
      <c r="P9" s="1">
        <v>3.1818181818181815E-2</v>
      </c>
      <c r="Q9" s="1">
        <v>124.8</v>
      </c>
      <c r="R9" s="1">
        <v>118.9</v>
      </c>
      <c r="S9" s="1">
        <v>4.7577092511013268E-2</v>
      </c>
      <c r="T9" s="1">
        <v>133.4</v>
      </c>
      <c r="U9" s="1">
        <v>119.6</v>
      </c>
      <c r="V9" s="1">
        <v>5.8873002523127721E-3</v>
      </c>
      <c r="W9" s="1">
        <v>142.4</v>
      </c>
      <c r="X9" s="1">
        <v>114.4</v>
      </c>
      <c r="Y9" s="1">
        <v>-4.3478260869565126E-2</v>
      </c>
      <c r="Z9" s="1">
        <v>953.1</v>
      </c>
      <c r="AA9" s="1">
        <v>893.9</v>
      </c>
      <c r="AB9" s="1">
        <v>6.4740802675585281</v>
      </c>
    </row>
    <row r="10" spans="1:28" x14ac:dyDescent="0.3">
      <c r="A10" s="3" t="s">
        <v>6</v>
      </c>
      <c r="B10" s="1">
        <v>101.7</v>
      </c>
      <c r="C10" s="1">
        <v>100.7</v>
      </c>
      <c r="D10" s="1"/>
      <c r="E10" s="1">
        <v>105</v>
      </c>
      <c r="F10" s="1">
        <v>101.7</v>
      </c>
      <c r="G10" s="1">
        <v>9.9304865938430985E-3</v>
      </c>
      <c r="H10" s="1">
        <v>108.4</v>
      </c>
      <c r="I10" s="1">
        <v>104</v>
      </c>
      <c r="J10" s="1">
        <v>2.2615535889872144E-2</v>
      </c>
      <c r="K10" s="1">
        <v>109.9</v>
      </c>
      <c r="L10" s="1">
        <v>104.2</v>
      </c>
      <c r="M10" s="1">
        <v>1.9230769230769505E-3</v>
      </c>
      <c r="N10" s="1">
        <v>117.5</v>
      </c>
      <c r="O10" s="1">
        <v>108.7</v>
      </c>
      <c r="P10" s="1">
        <v>4.3186180422264873E-2</v>
      </c>
      <c r="Q10" s="1">
        <v>118.3</v>
      </c>
      <c r="R10" s="1">
        <v>109.1</v>
      </c>
      <c r="S10" s="1">
        <v>3.679852805887686E-3</v>
      </c>
      <c r="T10" s="1">
        <v>123.2</v>
      </c>
      <c r="U10" s="1">
        <v>104</v>
      </c>
      <c r="V10" s="1">
        <v>-4.6746104491292344E-2</v>
      </c>
      <c r="W10" s="1">
        <v>132.6</v>
      </c>
      <c r="X10" s="1">
        <v>100.9</v>
      </c>
      <c r="Y10" s="1">
        <v>-2.9807692307692254E-2</v>
      </c>
      <c r="Z10" s="1">
        <v>916.6</v>
      </c>
      <c r="AA10" s="1">
        <v>833.3</v>
      </c>
      <c r="AB10" s="1">
        <v>7.0124999999999993</v>
      </c>
    </row>
    <row r="11" spans="1:28" x14ac:dyDescent="0.3">
      <c r="A11" s="3" t="s">
        <v>7</v>
      </c>
      <c r="B11" s="1">
        <v>102</v>
      </c>
      <c r="C11" s="1">
        <v>100.8</v>
      </c>
      <c r="D11" s="1"/>
      <c r="E11" s="1">
        <v>104.7</v>
      </c>
      <c r="F11" s="1">
        <v>101.3</v>
      </c>
      <c r="G11" s="1">
        <v>4.96031746031746E-3</v>
      </c>
      <c r="H11" s="1">
        <v>108.4</v>
      </c>
      <c r="I11" s="1">
        <v>102.6</v>
      </c>
      <c r="J11" s="1">
        <v>1.2833168805528107E-2</v>
      </c>
      <c r="K11" s="1">
        <v>112.5</v>
      </c>
      <c r="L11" s="1">
        <v>103.7</v>
      </c>
      <c r="M11" s="1">
        <v>1.0721247563352911E-2</v>
      </c>
      <c r="N11" s="1">
        <v>116.9</v>
      </c>
      <c r="O11" s="1">
        <v>105.4</v>
      </c>
      <c r="P11" s="1">
        <v>1.6393442622950848E-2</v>
      </c>
      <c r="Q11" s="1">
        <v>119.9</v>
      </c>
      <c r="R11" s="1">
        <v>107.2</v>
      </c>
      <c r="S11" s="1">
        <v>1.7077798861480049E-2</v>
      </c>
      <c r="T11" s="1">
        <v>129.1</v>
      </c>
      <c r="U11" s="1">
        <v>105.2</v>
      </c>
      <c r="V11" s="1">
        <v>-1.8656716417910446E-2</v>
      </c>
      <c r="W11" s="1">
        <v>137.69999999999999</v>
      </c>
      <c r="X11" s="1">
        <v>101.1</v>
      </c>
      <c r="Y11" s="1">
        <v>-3.8973384030418334E-2</v>
      </c>
      <c r="Z11" s="1">
        <v>931.2</v>
      </c>
      <c r="AA11" s="1">
        <v>827.3</v>
      </c>
      <c r="AB11" s="1">
        <v>6.8640684410646378</v>
      </c>
    </row>
    <row r="12" spans="1:28" x14ac:dyDescent="0.3">
      <c r="A12" s="3" t="s">
        <v>20</v>
      </c>
      <c r="B12" s="1">
        <v>609</v>
      </c>
      <c r="C12" s="1">
        <v>604.9</v>
      </c>
      <c r="D12" s="1"/>
      <c r="E12" s="1">
        <v>624.1</v>
      </c>
      <c r="F12" s="1">
        <v>608.9</v>
      </c>
      <c r="G12" s="1">
        <v>6.6126632501239879E-3</v>
      </c>
      <c r="H12" s="1">
        <v>641.20000000000005</v>
      </c>
      <c r="I12" s="1">
        <v>617.1</v>
      </c>
      <c r="J12" s="1">
        <v>1.3466907538183685E-2</v>
      </c>
      <c r="K12" s="1">
        <v>663.7</v>
      </c>
      <c r="L12" s="1">
        <v>629.20000000000005</v>
      </c>
      <c r="M12" s="1">
        <v>1.9607843137254936E-2</v>
      </c>
      <c r="N12" s="1">
        <v>702.8</v>
      </c>
      <c r="O12" s="1">
        <v>653.6</v>
      </c>
      <c r="P12" s="1">
        <v>3.8779402415766016E-2</v>
      </c>
      <c r="Q12" s="1">
        <v>711.5</v>
      </c>
      <c r="R12" s="1">
        <v>655.7</v>
      </c>
      <c r="S12" s="1">
        <v>3.212974296205665E-3</v>
      </c>
      <c r="T12" s="1">
        <v>741.6</v>
      </c>
      <c r="U12" s="1">
        <v>626.20000000000005</v>
      </c>
      <c r="V12" s="1">
        <v>-4.4990086929998473E-2</v>
      </c>
      <c r="W12" s="1">
        <v>787.8</v>
      </c>
      <c r="X12" s="1">
        <v>599.79999999999995</v>
      </c>
      <c r="Y12" s="1">
        <v>-4.2159054615139073E-2</v>
      </c>
      <c r="Z12" s="1">
        <v>5481.7</v>
      </c>
      <c r="AA12" s="1">
        <v>4995.3999999999996</v>
      </c>
      <c r="AB12" s="1">
        <v>6.9773235388054928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1828-BABC-4EEB-A1D2-2EDBF27F1011}">
  <dimension ref="A1:F18"/>
  <sheetViews>
    <sheetView zoomScaleNormal="100" workbookViewId="0">
      <selection activeCell="H14" sqref="H14"/>
    </sheetView>
  </sheetViews>
  <sheetFormatPr defaultColWidth="8.6640625" defaultRowHeight="14.4" x14ac:dyDescent="0.3"/>
  <cols>
    <col min="1" max="1" width="20" style="5" customWidth="1"/>
    <col min="2" max="2" width="10" style="5" customWidth="1"/>
    <col min="3" max="3" width="26" style="5" customWidth="1"/>
    <col min="4" max="4" width="28" style="5" customWidth="1"/>
    <col min="5" max="5" width="10" style="5" customWidth="1"/>
    <col min="6" max="6" width="24" style="5" customWidth="1"/>
    <col min="7" max="16384" width="8.6640625" style="5"/>
  </cols>
  <sheetData>
    <row r="1" spans="1:6" ht="27.75" customHeight="1" x14ac:dyDescent="0.3">
      <c r="A1" s="4" t="s">
        <v>48</v>
      </c>
      <c r="B1" s="4"/>
      <c r="C1" s="4"/>
      <c r="D1" s="4"/>
      <c r="E1" s="4"/>
      <c r="F1" s="4"/>
    </row>
    <row r="2" spans="1:6" x14ac:dyDescent="0.3">
      <c r="A2" s="6" t="s">
        <v>49</v>
      </c>
      <c r="B2" s="6"/>
      <c r="C2" s="6"/>
      <c r="D2" s="6"/>
      <c r="E2" s="6"/>
      <c r="F2" s="6"/>
    </row>
    <row r="4" spans="1:6" x14ac:dyDescent="0.3">
      <c r="A4" s="7" t="s">
        <v>50</v>
      </c>
      <c r="B4" s="7"/>
      <c r="C4" s="7"/>
      <c r="D4" s="7"/>
      <c r="E4" s="7"/>
      <c r="F4" s="7"/>
    </row>
    <row r="5" spans="1:6" ht="30" customHeight="1" x14ac:dyDescent="0.3">
      <c r="A5" s="8" t="s">
        <v>14</v>
      </c>
      <c r="B5" s="8" t="s">
        <v>38</v>
      </c>
      <c r="C5" s="8" t="s">
        <v>51</v>
      </c>
      <c r="D5" s="8" t="s">
        <v>52</v>
      </c>
      <c r="E5" s="8" t="s">
        <v>39</v>
      </c>
      <c r="F5" s="8" t="s">
        <v>28</v>
      </c>
    </row>
    <row r="6" spans="1:6" x14ac:dyDescent="0.3">
      <c r="A6" s="9" t="s">
        <v>29</v>
      </c>
      <c r="B6" s="10" t="s">
        <v>5</v>
      </c>
      <c r="C6" s="11">
        <v>182900</v>
      </c>
      <c r="D6" s="12">
        <f>SUMPRODUCT(([1]CPI!$B$2:$B$49=B6)*([1]CPI!$C$2:$C$49=2022)*[1]CPI!$D$2:$D$49)/100</f>
        <v>0.13300000000000001</v>
      </c>
      <c r="E6" s="10" t="s">
        <v>40</v>
      </c>
      <c r="F6" s="13" t="s">
        <v>41</v>
      </c>
    </row>
    <row r="7" spans="1:6" x14ac:dyDescent="0.3">
      <c r="A7" s="14" t="s">
        <v>30</v>
      </c>
      <c r="B7" s="15" t="s">
        <v>6</v>
      </c>
      <c r="C7" s="16">
        <v>47169</v>
      </c>
      <c r="D7" s="17">
        <f>SUMPRODUCT(([1]CPI!$B$2:$B$49=B7)*([1]CPI!$C$2:$C$49=2022)*[1]CPI!$D$2:$D$49)/100</f>
        <v>0.11699999999999999</v>
      </c>
      <c r="E7" s="15" t="s">
        <v>40</v>
      </c>
      <c r="F7" s="18" t="s">
        <v>41</v>
      </c>
    </row>
    <row r="8" spans="1:6" x14ac:dyDescent="0.3">
      <c r="A8" s="9" t="s">
        <v>31</v>
      </c>
      <c r="B8" s="10" t="s">
        <v>3</v>
      </c>
      <c r="C8" s="11">
        <v>216357</v>
      </c>
      <c r="D8" s="12">
        <f>SUMPRODUCT(([1]CPI!$B$2:$B$49=B8)*([1]CPI!$C$2:$C$49=2022)*[1]CPI!$D$2:$D$49)/100</f>
        <v>0.115</v>
      </c>
      <c r="E8" s="10" t="s">
        <v>42</v>
      </c>
      <c r="F8" s="13" t="s">
        <v>41</v>
      </c>
    </row>
    <row r="9" spans="1:6" x14ac:dyDescent="0.3">
      <c r="A9" s="14" t="s">
        <v>32</v>
      </c>
      <c r="B9" s="15" t="s">
        <v>2</v>
      </c>
      <c r="C9" s="16">
        <v>32568</v>
      </c>
      <c r="D9" s="17">
        <f>SUMPRODUCT(([1]CPI!$B$2:$B$49=B9)*([1]CPI!$C$2:$C$49=2022)*[1]CPI!$D$2:$D$49)/100</f>
        <v>0.122</v>
      </c>
      <c r="E9" s="15" t="s">
        <v>42</v>
      </c>
      <c r="F9" s="18" t="s">
        <v>41</v>
      </c>
    </row>
    <row r="10" spans="1:6" x14ac:dyDescent="0.3">
      <c r="A10" s="9" t="s">
        <v>33</v>
      </c>
      <c r="B10" s="10" t="s">
        <v>7</v>
      </c>
      <c r="C10" s="11">
        <v>30400</v>
      </c>
      <c r="D10" s="12">
        <f>SUMPRODUCT(([1]CPI!$B$2:$B$49=B10)*([1]CPI!$C$2:$C$49=2022)*[1]CPI!$D$2:$D$49)/100</f>
        <v>0.128</v>
      </c>
      <c r="E10" s="10" t="s">
        <v>42</v>
      </c>
      <c r="F10" s="13" t="s">
        <v>41</v>
      </c>
    </row>
    <row r="11" spans="1:6" x14ac:dyDescent="0.3">
      <c r="A11" s="14" t="s">
        <v>34</v>
      </c>
      <c r="B11" s="15" t="s">
        <v>4</v>
      </c>
      <c r="C11" s="16">
        <v>19252</v>
      </c>
      <c r="D11" s="17">
        <f>SUMPRODUCT(([1]CPI!$B$2:$B$49=B11)*([1]CPI!$C$2:$C$49=2022)*[1]CPI!$D$2:$D$49)/100</f>
        <v>0.11800000000000001</v>
      </c>
      <c r="E11" s="15" t="s">
        <v>42</v>
      </c>
      <c r="F11" s="18" t="s">
        <v>41</v>
      </c>
    </row>
    <row r="13" spans="1:6" x14ac:dyDescent="0.3">
      <c r="A13" s="7" t="s">
        <v>43</v>
      </c>
      <c r="B13" s="7"/>
      <c r="C13" s="7"/>
      <c r="D13" s="7"/>
      <c r="E13" s="7"/>
      <c r="F13" s="7"/>
    </row>
    <row r="14" spans="1:6" x14ac:dyDescent="0.3">
      <c r="A14" s="19" t="s">
        <v>44</v>
      </c>
      <c r="B14" s="20" t="s">
        <v>53</v>
      </c>
    </row>
    <row r="15" spans="1:6" x14ac:dyDescent="0.3">
      <c r="A15" s="19" t="s">
        <v>45</v>
      </c>
      <c r="B15" s="20" t="s">
        <v>46</v>
      </c>
    </row>
    <row r="16" spans="1:6" x14ac:dyDescent="0.3">
      <c r="A16" s="19" t="s">
        <v>54</v>
      </c>
      <c r="B16" s="21">
        <v>0.03</v>
      </c>
    </row>
    <row r="17" spans="1:2" x14ac:dyDescent="0.3">
      <c r="A17" s="19" t="s">
        <v>55</v>
      </c>
      <c r="B17" s="21">
        <v>0.05</v>
      </c>
    </row>
    <row r="18" spans="1:2" x14ac:dyDescent="0.3">
      <c r="A18" s="19" t="s">
        <v>37</v>
      </c>
      <c r="B18" s="20">
        <v>2022</v>
      </c>
    </row>
  </sheetData>
  <mergeCells count="4">
    <mergeCell ref="A1:F1"/>
    <mergeCell ref="A2:F2"/>
    <mergeCell ref="A4:F4"/>
    <mergeCell ref="A13:F1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310F-6AC5-499B-861F-7B31985E6D1F}">
  <dimension ref="A1:G20"/>
  <sheetViews>
    <sheetView zoomScaleNormal="100" workbookViewId="0">
      <selection sqref="A1:G1"/>
    </sheetView>
  </sheetViews>
  <sheetFormatPr defaultColWidth="8.6640625" defaultRowHeight="14.4" x14ac:dyDescent="0.3"/>
  <cols>
    <col min="1" max="1" width="34" style="5" customWidth="1"/>
    <col min="2" max="2" width="8" style="5" customWidth="1"/>
    <col min="3" max="3" width="22" style="5" customWidth="1"/>
    <col min="4" max="4" width="14" style="5" customWidth="1"/>
    <col min="5" max="5" width="22" style="5" customWidth="1"/>
    <col min="6" max="6" width="10" style="5" customWidth="1"/>
    <col min="7" max="7" width="20" style="5" customWidth="1"/>
    <col min="8" max="16384" width="8.6640625" style="5"/>
  </cols>
  <sheetData>
    <row r="1" spans="1:7" ht="27.75" customHeight="1" x14ac:dyDescent="0.3">
      <c r="A1" s="4" t="s">
        <v>56</v>
      </c>
      <c r="B1" s="4"/>
      <c r="C1" s="4"/>
      <c r="D1" s="4"/>
      <c r="E1" s="4"/>
      <c r="F1" s="4"/>
      <c r="G1" s="4"/>
    </row>
    <row r="3" spans="1:7" x14ac:dyDescent="0.3">
      <c r="A3" s="7" t="s">
        <v>57</v>
      </c>
      <c r="B3" s="7"/>
      <c r="C3" s="7"/>
      <c r="D3" s="7"/>
      <c r="E3" s="7"/>
      <c r="F3" s="7"/>
      <c r="G3" s="7"/>
    </row>
    <row r="4" spans="1:7" ht="27.75" customHeight="1" x14ac:dyDescent="0.3">
      <c r="A4" s="8" t="s">
        <v>14</v>
      </c>
      <c r="B4" s="8" t="s">
        <v>38</v>
      </c>
      <c r="C4" s="8" t="s">
        <v>58</v>
      </c>
      <c r="D4" s="8" t="s">
        <v>59</v>
      </c>
      <c r="E4" s="8" t="s">
        <v>58</v>
      </c>
      <c r="F4" s="8" t="s">
        <v>39</v>
      </c>
      <c r="G4" s="8" t="s">
        <v>60</v>
      </c>
    </row>
    <row r="5" spans="1:7" x14ac:dyDescent="0.3">
      <c r="A5" s="22" t="str">
        <f>[1]Assumptions!A6</f>
        <v>France</v>
      </c>
      <c r="B5" s="23" t="str">
        <f>[1]Assumptions!B6</f>
        <v>FR</v>
      </c>
      <c r="C5" s="24">
        <f>[1]Assumptions!C6</f>
        <v>182900</v>
      </c>
      <c r="D5" s="17">
        <f>[1]Assumptions!D6</f>
        <v>0.13300000000000001</v>
      </c>
      <c r="E5" s="25">
        <f t="shared" ref="E5:E10" si="0">C5</f>
        <v>182900</v>
      </c>
      <c r="F5" s="23" t="str">
        <f>[1]Assumptions!E6</f>
        <v>YES</v>
      </c>
      <c r="G5" s="26"/>
    </row>
    <row r="6" spans="1:7" x14ac:dyDescent="0.3">
      <c r="A6" s="27" t="str">
        <f>[1]Assumptions!A7</f>
        <v>Netherlands</v>
      </c>
      <c r="B6" s="28" t="str">
        <f>[1]Assumptions!B7</f>
        <v>NL</v>
      </c>
      <c r="C6" s="29">
        <f>[1]Assumptions!C7</f>
        <v>47169</v>
      </c>
      <c r="D6" s="12">
        <f>[1]Assumptions!D7</f>
        <v>0.11699999999999999</v>
      </c>
      <c r="E6" s="30">
        <f t="shared" si="0"/>
        <v>47169</v>
      </c>
      <c r="F6" s="28" t="str">
        <f>[1]Assumptions!E7</f>
        <v>YES</v>
      </c>
      <c r="G6" s="31"/>
    </row>
    <row r="7" spans="1:7" x14ac:dyDescent="0.3">
      <c r="A7" s="22" t="str">
        <f>[1]Assumptions!A8</f>
        <v>Germany</v>
      </c>
      <c r="B7" s="23" t="str">
        <f>[1]Assumptions!B8</f>
        <v>DE</v>
      </c>
      <c r="C7" s="24">
        <f>[1]Assumptions!C8</f>
        <v>216357</v>
      </c>
      <c r="D7" s="17">
        <f>[1]Assumptions!D8</f>
        <v>0.115</v>
      </c>
      <c r="E7" s="25">
        <f t="shared" si="0"/>
        <v>216357</v>
      </c>
      <c r="F7" s="23" t="str">
        <f>[1]Assumptions!E8</f>
        <v>NO</v>
      </c>
      <c r="G7" s="26"/>
    </row>
    <row r="8" spans="1:7" x14ac:dyDescent="0.3">
      <c r="A8" s="27" t="str">
        <f>[1]Assumptions!A9</f>
        <v>Belgium</v>
      </c>
      <c r="B8" s="28" t="str">
        <f>[1]Assumptions!B9</f>
        <v>BE</v>
      </c>
      <c r="C8" s="29">
        <f>[1]Assumptions!C9</f>
        <v>32568</v>
      </c>
      <c r="D8" s="12">
        <f>[1]Assumptions!D9</f>
        <v>0.122</v>
      </c>
      <c r="E8" s="30">
        <f t="shared" si="0"/>
        <v>32568</v>
      </c>
      <c r="F8" s="28" t="str">
        <f>[1]Assumptions!E9</f>
        <v>NO</v>
      </c>
      <c r="G8" s="31"/>
    </row>
    <row r="9" spans="1:7" x14ac:dyDescent="0.3">
      <c r="A9" s="22" t="str">
        <f>[1]Assumptions!A10</f>
        <v>Sweden</v>
      </c>
      <c r="B9" s="23" t="str">
        <f>[1]Assumptions!B10</f>
        <v>SE</v>
      </c>
      <c r="C9" s="24">
        <f>[1]Assumptions!C10</f>
        <v>30400</v>
      </c>
      <c r="D9" s="17">
        <f>[1]Assumptions!D10</f>
        <v>0.128</v>
      </c>
      <c r="E9" s="25">
        <f t="shared" si="0"/>
        <v>30400</v>
      </c>
      <c r="F9" s="23" t="str">
        <f>[1]Assumptions!E10</f>
        <v>NO</v>
      </c>
      <c r="G9" s="26"/>
    </row>
    <row r="10" spans="1:7" x14ac:dyDescent="0.3">
      <c r="A10" s="27" t="str">
        <f>[1]Assumptions!A11</f>
        <v>Denmark</v>
      </c>
      <c r="B10" s="28" t="str">
        <f>[1]Assumptions!B11</f>
        <v>DK</v>
      </c>
      <c r="C10" s="29">
        <f>[1]Assumptions!C11</f>
        <v>19252</v>
      </c>
      <c r="D10" s="12">
        <f>[1]Assumptions!D11</f>
        <v>0.11800000000000001</v>
      </c>
      <c r="E10" s="30">
        <f t="shared" si="0"/>
        <v>19252</v>
      </c>
      <c r="F10" s="28" t="str">
        <f>[1]Assumptions!E11</f>
        <v>NO</v>
      </c>
      <c r="G10" s="31"/>
    </row>
    <row r="11" spans="1:7" x14ac:dyDescent="0.3">
      <c r="A11" s="32" t="s">
        <v>61</v>
      </c>
      <c r="B11" s="32"/>
      <c r="C11" s="32"/>
      <c r="D11" s="32"/>
      <c r="E11" s="33">
        <f>SUM(E5:E10)</f>
        <v>528646</v>
      </c>
      <c r="F11" s="34"/>
      <c r="G11" s="34"/>
    </row>
    <row r="13" spans="1:7" x14ac:dyDescent="0.3">
      <c r="A13" s="7" t="s">
        <v>62</v>
      </c>
      <c r="B13" s="7"/>
      <c r="C13" s="7"/>
      <c r="D13" s="7"/>
      <c r="E13" s="7"/>
      <c r="F13" s="7"/>
      <c r="G13" s="7"/>
    </row>
    <row r="14" spans="1:7" x14ac:dyDescent="0.3">
      <c r="A14" s="19" t="s">
        <v>63</v>
      </c>
      <c r="E14" s="35">
        <f>E5</f>
        <v>182900</v>
      </c>
    </row>
    <row r="15" spans="1:7" x14ac:dyDescent="0.3">
      <c r="A15" s="19" t="s">
        <v>64</v>
      </c>
      <c r="E15" s="35">
        <f>E6</f>
        <v>47169</v>
      </c>
    </row>
    <row r="16" spans="1:7" x14ac:dyDescent="0.3">
      <c r="A16" s="36" t="s">
        <v>65</v>
      </c>
      <c r="B16" s="36"/>
      <c r="C16" s="36"/>
      <c r="D16" s="36"/>
      <c r="E16" s="37">
        <f>E14+E15</f>
        <v>230069</v>
      </c>
    </row>
    <row r="18" spans="1:7" x14ac:dyDescent="0.3">
      <c r="A18" s="7" t="s">
        <v>66</v>
      </c>
      <c r="B18" s="7"/>
      <c r="C18" s="7"/>
      <c r="D18" s="7"/>
      <c r="E18" s="7"/>
      <c r="F18" s="7"/>
      <c r="G18" s="7"/>
    </row>
    <row r="19" spans="1:7" x14ac:dyDescent="0.3">
      <c r="A19" s="38" t="s">
        <v>67</v>
      </c>
      <c r="E19" s="39">
        <f>E16*[1]Assumptions!B16</f>
        <v>6902.07</v>
      </c>
    </row>
    <row r="20" spans="1:7" x14ac:dyDescent="0.3">
      <c r="A20" s="38" t="s">
        <v>68</v>
      </c>
      <c r="E20" s="39">
        <f>E16*[1]Assumptions!B17</f>
        <v>11503.45</v>
      </c>
    </row>
  </sheetData>
  <mergeCells count="6">
    <mergeCell ref="A1:G1"/>
    <mergeCell ref="A3:G3"/>
    <mergeCell ref="A11:D11"/>
    <mergeCell ref="A13:G13"/>
    <mergeCell ref="A16:D16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1FE59-F845-43A5-92BF-259CADA49B68}">
  <dimension ref="A1:E21"/>
  <sheetViews>
    <sheetView zoomScaleNormal="100" workbookViewId="0">
      <selection activeCell="F10" sqref="F10"/>
    </sheetView>
  </sheetViews>
  <sheetFormatPr defaultColWidth="8.6640625" defaultRowHeight="14.4" x14ac:dyDescent="0.3"/>
  <cols>
    <col min="1" max="1" width="30" style="5" customWidth="1"/>
    <col min="2" max="2" width="28" style="5" customWidth="1"/>
    <col min="3" max="3" width="16" style="5" customWidth="1"/>
    <col min="4" max="4" width="14" style="5" customWidth="1"/>
    <col min="5" max="5" width="18" style="5" customWidth="1"/>
    <col min="6" max="16384" width="8.6640625" style="5"/>
  </cols>
  <sheetData>
    <row r="1" spans="1:5" ht="27.75" customHeight="1" x14ac:dyDescent="0.3">
      <c r="A1" s="4" t="s">
        <v>69</v>
      </c>
      <c r="B1" s="4"/>
      <c r="C1" s="4"/>
      <c r="D1" s="4"/>
      <c r="E1" s="4"/>
    </row>
    <row r="2" spans="1:5" x14ac:dyDescent="0.3">
      <c r="A2" s="6" t="s">
        <v>70</v>
      </c>
      <c r="B2" s="6"/>
      <c r="C2" s="6"/>
      <c r="D2" s="6"/>
      <c r="E2" s="6"/>
    </row>
    <row r="4" spans="1:5" ht="21.75" customHeight="1" x14ac:dyDescent="0.3">
      <c r="A4" s="40" t="s">
        <v>71</v>
      </c>
      <c r="C4" s="40" t="s">
        <v>72</v>
      </c>
      <c r="E4" s="40" t="s">
        <v>73</v>
      </c>
    </row>
    <row r="5" spans="1:5" ht="30" customHeight="1" x14ac:dyDescent="0.3">
      <c r="A5" s="41">
        <f>[1]Calculation!E11</f>
        <v>528646</v>
      </c>
      <c r="C5" s="41">
        <f>[1]Calculation!E16</f>
        <v>230069</v>
      </c>
      <c r="E5" s="41">
        <f>[1]Calculation!E19</f>
        <v>6902.07</v>
      </c>
    </row>
    <row r="7" spans="1:5" x14ac:dyDescent="0.3">
      <c r="A7" s="7" t="s">
        <v>74</v>
      </c>
      <c r="B7" s="7"/>
      <c r="C7" s="7"/>
      <c r="D7" s="7"/>
      <c r="E7" s="7"/>
    </row>
    <row r="8" spans="1:5" x14ac:dyDescent="0.3">
      <c r="A8" s="42" t="s">
        <v>14</v>
      </c>
      <c r="B8" s="42" t="s">
        <v>58</v>
      </c>
      <c r="C8" s="42" t="s">
        <v>75</v>
      </c>
      <c r="D8" s="42" t="s">
        <v>39</v>
      </c>
      <c r="E8" s="42" t="s">
        <v>76</v>
      </c>
    </row>
    <row r="9" spans="1:5" x14ac:dyDescent="0.3">
      <c r="A9" s="43" t="s">
        <v>29</v>
      </c>
      <c r="B9" s="44">
        <f>[1]Calculation!E5</f>
        <v>182900</v>
      </c>
      <c r="C9" s="45">
        <f>B9/[1]Calculation!E11</f>
        <v>0.34597821604627671</v>
      </c>
      <c r="D9" s="46" t="str">
        <f>[1]Assumptions!E9</f>
        <v>NO</v>
      </c>
      <c r="E9" s="47" t="s">
        <v>77</v>
      </c>
    </row>
    <row r="10" spans="1:5" x14ac:dyDescent="0.3">
      <c r="A10" s="48" t="s">
        <v>30</v>
      </c>
      <c r="B10" s="49">
        <f>[1]Calculation!E6</f>
        <v>47169</v>
      </c>
      <c r="C10" s="50">
        <f>B10/[1]Calculation!E11</f>
        <v>8.9226060539567123E-2</v>
      </c>
      <c r="D10" s="51" t="str">
        <f>[1]Assumptions!E10</f>
        <v>NO</v>
      </c>
      <c r="E10" s="47" t="s">
        <v>77</v>
      </c>
    </row>
    <row r="11" spans="1:5" x14ac:dyDescent="0.3">
      <c r="A11" s="43" t="s">
        <v>31</v>
      </c>
      <c r="B11" s="44">
        <f>[1]Calculation!E7</f>
        <v>216357</v>
      </c>
      <c r="C11" s="45">
        <f>B11/[1]Calculation!E11</f>
        <v>0.40926631431997973</v>
      </c>
      <c r="D11" s="46" t="str">
        <f>[1]Assumptions!E11</f>
        <v>NO</v>
      </c>
      <c r="E11" s="52" t="s">
        <v>78</v>
      </c>
    </row>
    <row r="12" spans="1:5" x14ac:dyDescent="0.3">
      <c r="A12" s="48" t="s">
        <v>32</v>
      </c>
      <c r="B12" s="49">
        <f>[1]Calculation!E8</f>
        <v>32568</v>
      </c>
      <c r="C12" s="50">
        <f>B12/[1]Calculation!E11</f>
        <v>6.160644363146605E-2</v>
      </c>
      <c r="D12" s="51">
        <f>[1]Assumptions!E12</f>
        <v>0</v>
      </c>
      <c r="E12" s="52" t="s">
        <v>78</v>
      </c>
    </row>
    <row r="13" spans="1:5" x14ac:dyDescent="0.3">
      <c r="A13" s="43" t="s">
        <v>33</v>
      </c>
      <c r="B13" s="44">
        <f>[1]Calculation!E9</f>
        <v>30400</v>
      </c>
      <c r="C13" s="45">
        <f>B13/[1]Calculation!E11</f>
        <v>5.7505400589430357E-2</v>
      </c>
      <c r="D13" s="46">
        <f>[1]Assumptions!E13</f>
        <v>0</v>
      </c>
      <c r="E13" s="53" t="s">
        <v>79</v>
      </c>
    </row>
    <row r="14" spans="1:5" x14ac:dyDescent="0.3">
      <c r="A14" s="48" t="s">
        <v>34</v>
      </c>
      <c r="B14" s="49">
        <f>[1]Calculation!E10</f>
        <v>19252</v>
      </c>
      <c r="C14" s="50">
        <f>B14/[1]Calculation!E11</f>
        <v>3.6417564873280038E-2</v>
      </c>
      <c r="D14" s="51">
        <f>[1]Assumptions!E14</f>
        <v>0</v>
      </c>
      <c r="E14" s="53" t="s">
        <v>79</v>
      </c>
    </row>
    <row r="16" spans="1:5" x14ac:dyDescent="0.3">
      <c r="A16" s="7" t="s">
        <v>80</v>
      </c>
      <c r="B16" s="7"/>
      <c r="C16" s="7"/>
      <c r="D16" s="7"/>
      <c r="E16" s="7"/>
    </row>
    <row r="17" spans="1:5" x14ac:dyDescent="0.3">
      <c r="A17" s="42" t="s">
        <v>81</v>
      </c>
      <c r="B17" s="42" t="s">
        <v>82</v>
      </c>
      <c r="C17" s="42" t="s">
        <v>83</v>
      </c>
      <c r="D17" s="42" t="s">
        <v>75</v>
      </c>
      <c r="E17" s="42" t="s">
        <v>60</v>
      </c>
    </row>
    <row r="18" spans="1:5" x14ac:dyDescent="0.3">
      <c r="A18" s="54" t="s">
        <v>84</v>
      </c>
      <c r="B18" s="55" t="s">
        <v>85</v>
      </c>
      <c r="C18" s="56">
        <f>[1]Calculation!E11</f>
        <v>528646</v>
      </c>
      <c r="D18" s="57">
        <f>C18/[1]Calculation!E11</f>
        <v>1</v>
      </c>
      <c r="E18" s="58" t="s">
        <v>86</v>
      </c>
    </row>
    <row r="19" spans="1:5" x14ac:dyDescent="0.3">
      <c r="A19" s="59" t="s">
        <v>87</v>
      </c>
      <c r="B19" s="60" t="s">
        <v>88</v>
      </c>
      <c r="C19" s="61">
        <f>[1]Calculation!E16</f>
        <v>230069</v>
      </c>
      <c r="D19" s="62">
        <f>C19/[1]Calculation!E11</f>
        <v>0.43520427658584382</v>
      </c>
      <c r="E19" s="63" t="s">
        <v>89</v>
      </c>
    </row>
    <row r="20" spans="1:5" x14ac:dyDescent="0.3">
      <c r="A20" s="54" t="s">
        <v>35</v>
      </c>
      <c r="B20" s="55" t="s">
        <v>90</v>
      </c>
      <c r="C20" s="56">
        <f>[1]Calculation!E19</f>
        <v>6902.07</v>
      </c>
      <c r="D20" s="57">
        <f>C20/[1]Calculation!E11</f>
        <v>1.3056128297575315E-2</v>
      </c>
      <c r="E20" s="58" t="s">
        <v>91</v>
      </c>
    </row>
    <row r="21" spans="1:5" x14ac:dyDescent="0.3">
      <c r="A21" s="59" t="s">
        <v>36</v>
      </c>
      <c r="B21" s="60" t="s">
        <v>92</v>
      </c>
      <c r="C21" s="61">
        <f>[1]Calculation!E20</f>
        <v>11503.45</v>
      </c>
      <c r="D21" s="62">
        <f>C21/[1]Calculation!E11</f>
        <v>2.1760213829292194E-2</v>
      </c>
      <c r="E21" s="63" t="s">
        <v>93</v>
      </c>
    </row>
  </sheetData>
  <mergeCells count="4">
    <mergeCell ref="A1:E1"/>
    <mergeCell ref="A2:E2"/>
    <mergeCell ref="A7:E7"/>
    <mergeCell ref="A16:E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BDD2-4EC1-4D4F-A441-5F429768AEA8}">
  <dimension ref="A1:G53"/>
  <sheetViews>
    <sheetView topLeftCell="A18" zoomScaleNormal="100" workbookViewId="0">
      <selection activeCell="C51" sqref="C51"/>
    </sheetView>
  </sheetViews>
  <sheetFormatPr defaultColWidth="8.6640625" defaultRowHeight="14.4" x14ac:dyDescent="0.3"/>
  <cols>
    <col min="1" max="1" width="32" style="5" customWidth="1"/>
    <col min="2" max="4" width="20" style="5" customWidth="1"/>
    <col min="5" max="5" width="24" style="5" customWidth="1"/>
    <col min="6" max="6" width="20" style="5" customWidth="1"/>
    <col min="7" max="16384" width="8.6640625" style="5"/>
  </cols>
  <sheetData>
    <row r="1" spans="1:6" ht="27.75" customHeight="1" x14ac:dyDescent="0.3">
      <c r="A1" s="4" t="s">
        <v>94</v>
      </c>
      <c r="B1" s="4"/>
      <c r="C1" s="4"/>
      <c r="D1" s="4"/>
      <c r="E1" s="4"/>
      <c r="F1" s="4"/>
    </row>
    <row r="2" spans="1:6" ht="15" customHeight="1" x14ac:dyDescent="0.3">
      <c r="A2" s="6" t="s">
        <v>95</v>
      </c>
      <c r="B2" s="6"/>
      <c r="C2" s="6"/>
      <c r="D2" s="6"/>
      <c r="E2" s="6"/>
      <c r="F2" s="6"/>
    </row>
    <row r="4" spans="1:6" ht="15" customHeight="1" x14ac:dyDescent="0.3">
      <c r="A4" s="7" t="s">
        <v>96</v>
      </c>
      <c r="B4" s="7"/>
      <c r="C4" s="7"/>
      <c r="D4" s="7"/>
      <c r="E4" s="7"/>
      <c r="F4" s="7"/>
    </row>
    <row r="5" spans="1:6" ht="15" customHeight="1" x14ac:dyDescent="0.3">
      <c r="A5" s="19" t="s">
        <v>97</v>
      </c>
      <c r="B5" s="64">
        <v>4.5</v>
      </c>
      <c r="C5" s="65" t="s">
        <v>98</v>
      </c>
    </row>
    <row r="6" spans="1:6" ht="15" customHeight="1" x14ac:dyDescent="0.3">
      <c r="A6" s="19" t="s">
        <v>99</v>
      </c>
      <c r="B6" s="66">
        <v>1000000</v>
      </c>
      <c r="C6" s="65" t="s">
        <v>100</v>
      </c>
    </row>
    <row r="7" spans="1:6" ht="15" customHeight="1" x14ac:dyDescent="0.3">
      <c r="A7" s="19" t="s">
        <v>101</v>
      </c>
      <c r="B7" s="64">
        <v>2.8</v>
      </c>
      <c r="C7" s="65" t="s">
        <v>102</v>
      </c>
    </row>
    <row r="8" spans="1:6" ht="15" customHeight="1" x14ac:dyDescent="0.3">
      <c r="A8" s="19" t="s">
        <v>103</v>
      </c>
      <c r="B8" s="67">
        <v>500000</v>
      </c>
      <c r="C8" s="65" t="s">
        <v>104</v>
      </c>
    </row>
    <row r="9" spans="1:6" ht="15" customHeight="1" x14ac:dyDescent="0.3">
      <c r="A9" s="19" t="s">
        <v>105</v>
      </c>
      <c r="B9" s="68">
        <v>-1.5</v>
      </c>
      <c r="C9" s="65" t="s">
        <v>106</v>
      </c>
    </row>
    <row r="11" spans="1:6" ht="15" customHeight="1" x14ac:dyDescent="0.3">
      <c r="A11" s="7" t="s">
        <v>107</v>
      </c>
      <c r="B11" s="7"/>
      <c r="C11" s="7"/>
      <c r="D11" s="7"/>
      <c r="E11" s="7"/>
      <c r="F11" s="7"/>
    </row>
    <row r="12" spans="1:6" ht="15" customHeight="1" x14ac:dyDescent="0.3">
      <c r="A12" s="69" t="s">
        <v>108</v>
      </c>
      <c r="B12" s="70">
        <f>B5*B6</f>
        <v>4500000</v>
      </c>
    </row>
    <row r="13" spans="1:6" ht="15" customHeight="1" x14ac:dyDescent="0.3">
      <c r="A13" s="71" t="s">
        <v>109</v>
      </c>
      <c r="B13" s="72">
        <f>B7*B6</f>
        <v>2800000</v>
      </c>
    </row>
    <row r="14" spans="1:6" ht="15" customHeight="1" x14ac:dyDescent="0.3">
      <c r="A14" s="69" t="s">
        <v>110</v>
      </c>
      <c r="B14" s="70">
        <f>B12-B13</f>
        <v>1700000</v>
      </c>
    </row>
    <row r="15" spans="1:6" ht="15" customHeight="1" x14ac:dyDescent="0.3">
      <c r="A15" s="71" t="s">
        <v>103</v>
      </c>
      <c r="B15" s="72">
        <f>B8</f>
        <v>500000</v>
      </c>
    </row>
    <row r="16" spans="1:6" ht="15" customHeight="1" x14ac:dyDescent="0.3">
      <c r="A16" s="69" t="s">
        <v>111</v>
      </c>
      <c r="B16" s="73">
        <f>B14-B15</f>
        <v>1200000</v>
      </c>
    </row>
    <row r="17" spans="1:7" ht="15" customHeight="1" x14ac:dyDescent="0.3">
      <c r="A17" s="71" t="s">
        <v>112</v>
      </c>
      <c r="B17" s="74">
        <f>B16/B12</f>
        <v>0.26666666666666666</v>
      </c>
    </row>
    <row r="18" spans="1:7" ht="15" customHeight="1" x14ac:dyDescent="0.3">
      <c r="A18" s="69" t="s">
        <v>113</v>
      </c>
      <c r="B18" s="75">
        <f>B8/(B5-B7)</f>
        <v>294117.6470588235</v>
      </c>
    </row>
    <row r="20" spans="1:7" ht="15" customHeight="1" x14ac:dyDescent="0.3">
      <c r="A20" s="7" t="s">
        <v>114</v>
      </c>
      <c r="B20" s="7"/>
      <c r="C20" s="7"/>
      <c r="D20" s="7"/>
      <c r="E20" s="7"/>
      <c r="F20" s="7"/>
    </row>
    <row r="21" spans="1:7" ht="15" customHeight="1" x14ac:dyDescent="0.3">
      <c r="A21" s="6" t="s">
        <v>115</v>
      </c>
      <c r="B21" s="6"/>
      <c r="C21" s="6"/>
      <c r="D21" s="6"/>
      <c r="E21" s="6"/>
      <c r="F21" s="6"/>
    </row>
    <row r="22" spans="1:7" ht="30" customHeight="1" x14ac:dyDescent="0.3">
      <c r="A22" s="8" t="s">
        <v>116</v>
      </c>
      <c r="B22" s="8" t="s">
        <v>117</v>
      </c>
      <c r="C22" s="8" t="s">
        <v>108</v>
      </c>
      <c r="D22" s="8" t="s">
        <v>118</v>
      </c>
      <c r="E22" s="8" t="s">
        <v>119</v>
      </c>
      <c r="F22" s="8" t="s">
        <v>120</v>
      </c>
    </row>
    <row r="23" spans="1:7" ht="15" customHeight="1" x14ac:dyDescent="0.3">
      <c r="A23" s="76">
        <v>3</v>
      </c>
      <c r="B23" s="75">
        <f>B6*(1+B9*(A23-B5)/B5)</f>
        <v>1500000</v>
      </c>
      <c r="C23" s="70">
        <f t="shared" ref="C23:C39" si="0">A23*B23</f>
        <v>4500000</v>
      </c>
      <c r="D23" s="70">
        <f>B7*B23</f>
        <v>4200000</v>
      </c>
      <c r="E23" s="70">
        <f t="shared" ref="E23:E39" si="1">C23-D23</f>
        <v>300000</v>
      </c>
      <c r="F23" s="70">
        <f>E23-B8</f>
        <v>-200000</v>
      </c>
    </row>
    <row r="24" spans="1:7" ht="15" customHeight="1" x14ac:dyDescent="0.3">
      <c r="A24" s="77">
        <v>3.25</v>
      </c>
      <c r="B24" s="78">
        <f>B6*(1+B9*(A24-B5)/B5)</f>
        <v>1416666.6666666667</v>
      </c>
      <c r="C24" s="72">
        <f t="shared" si="0"/>
        <v>4604166.666666667</v>
      </c>
      <c r="D24" s="72">
        <f>B7*B24</f>
        <v>3966666.6666666665</v>
      </c>
      <c r="E24" s="72">
        <f t="shared" si="1"/>
        <v>637500.00000000047</v>
      </c>
      <c r="F24" s="72">
        <f>E24-B8</f>
        <v>137500.00000000047</v>
      </c>
    </row>
    <row r="25" spans="1:7" ht="15" customHeight="1" x14ac:dyDescent="0.3">
      <c r="A25" s="76">
        <v>3.5</v>
      </c>
      <c r="B25" s="75">
        <f>B6*(1+B9*(A25-B5)/B5)</f>
        <v>1333333.3333333333</v>
      </c>
      <c r="C25" s="70">
        <f t="shared" si="0"/>
        <v>4666666.666666666</v>
      </c>
      <c r="D25" s="70">
        <f>B7*B25</f>
        <v>3733333.333333333</v>
      </c>
      <c r="E25" s="70">
        <f t="shared" si="1"/>
        <v>933333.33333333302</v>
      </c>
      <c r="F25" s="70">
        <f>E25-B8</f>
        <v>433333.33333333302</v>
      </c>
    </row>
    <row r="26" spans="1:7" ht="15" customHeight="1" x14ac:dyDescent="0.3">
      <c r="A26" s="77">
        <v>3.75</v>
      </c>
      <c r="B26" s="78">
        <f>B6*(1+B9*(A26-B5)/B5)</f>
        <v>1250000</v>
      </c>
      <c r="C26" s="72">
        <f t="shared" si="0"/>
        <v>4687500</v>
      </c>
      <c r="D26" s="72">
        <f>B7*B26</f>
        <v>3500000</v>
      </c>
      <c r="E26" s="72">
        <f t="shared" si="1"/>
        <v>1187500</v>
      </c>
      <c r="F26" s="72">
        <f>E26-B8</f>
        <v>687500</v>
      </c>
    </row>
    <row r="27" spans="1:7" ht="15" customHeight="1" x14ac:dyDescent="0.3">
      <c r="A27" s="76">
        <v>4</v>
      </c>
      <c r="B27" s="75">
        <f>B6*(1+B9*(A27-B5)/B5)</f>
        <v>1166666.6666666667</v>
      </c>
      <c r="C27" s="70">
        <f t="shared" si="0"/>
        <v>4666666.666666667</v>
      </c>
      <c r="D27" s="70">
        <f>B7*B27</f>
        <v>3266666.6666666665</v>
      </c>
      <c r="E27" s="70">
        <f t="shared" si="1"/>
        <v>1400000.0000000005</v>
      </c>
      <c r="F27" s="70">
        <f>E27-B8</f>
        <v>900000.00000000047</v>
      </c>
    </row>
    <row r="28" spans="1:7" ht="15" customHeight="1" x14ac:dyDescent="0.3">
      <c r="A28" s="77">
        <v>4.25</v>
      </c>
      <c r="B28" s="78">
        <f>B6*(1+B9*(A28-B5)/B5)</f>
        <v>1083333.3333333333</v>
      </c>
      <c r="C28" s="72">
        <f t="shared" si="0"/>
        <v>4604166.666666666</v>
      </c>
      <c r="D28" s="72">
        <f>B7*B28</f>
        <v>3033333.333333333</v>
      </c>
      <c r="E28" s="72">
        <f t="shared" si="1"/>
        <v>1570833.333333333</v>
      </c>
      <c r="F28" s="72">
        <f>E28-B8</f>
        <v>1070833.333333333</v>
      </c>
    </row>
    <row r="29" spans="1:7" ht="15" customHeight="1" x14ac:dyDescent="0.3">
      <c r="A29" s="79">
        <v>4.5</v>
      </c>
      <c r="B29" s="80">
        <f>B6*(1+B9*(A29-B5)/B5)</f>
        <v>1000000</v>
      </c>
      <c r="C29" s="81">
        <f t="shared" si="0"/>
        <v>4500000</v>
      </c>
      <c r="D29" s="81">
        <f>B7*B29</f>
        <v>2800000</v>
      </c>
      <c r="E29" s="81">
        <f t="shared" si="1"/>
        <v>1700000</v>
      </c>
      <c r="F29" s="81">
        <f>E29-B8</f>
        <v>1200000</v>
      </c>
      <c r="G29" s="82" t="s">
        <v>121</v>
      </c>
    </row>
    <row r="30" spans="1:7" ht="15" customHeight="1" x14ac:dyDescent="0.3">
      <c r="A30" s="77">
        <v>4.75</v>
      </c>
      <c r="B30" s="78">
        <f>B6*(1+B9*(A30-B5)/B5)</f>
        <v>916666.66666666663</v>
      </c>
      <c r="C30" s="72">
        <f t="shared" si="0"/>
        <v>4354166.666666666</v>
      </c>
      <c r="D30" s="72">
        <f>B7*B30</f>
        <v>2566666.6666666665</v>
      </c>
      <c r="E30" s="72">
        <f t="shared" si="1"/>
        <v>1787499.9999999995</v>
      </c>
      <c r="F30" s="72">
        <f>E30-B8</f>
        <v>1287499.9999999995</v>
      </c>
    </row>
    <row r="31" spans="1:7" ht="15" customHeight="1" x14ac:dyDescent="0.3">
      <c r="A31" s="76">
        <v>5</v>
      </c>
      <c r="B31" s="75">
        <f>B6*(1+B9*(A31-B5)/B5)</f>
        <v>833333.33333333337</v>
      </c>
      <c r="C31" s="70">
        <f t="shared" si="0"/>
        <v>4166666.666666667</v>
      </c>
      <c r="D31" s="70">
        <f>B7*B31</f>
        <v>2333333.3333333335</v>
      </c>
      <c r="E31" s="70">
        <f t="shared" si="1"/>
        <v>1833333.3333333335</v>
      </c>
      <c r="F31" s="70">
        <f>E31-B8</f>
        <v>1333333.3333333335</v>
      </c>
    </row>
    <row r="32" spans="1:7" ht="15" customHeight="1" x14ac:dyDescent="0.3">
      <c r="A32" s="77">
        <v>5.25</v>
      </c>
      <c r="B32" s="78">
        <f>B6*(1+B9*(A32-B5)/B5)</f>
        <v>750000</v>
      </c>
      <c r="C32" s="72">
        <f t="shared" si="0"/>
        <v>3937500</v>
      </c>
      <c r="D32" s="72">
        <f>B7*B32</f>
        <v>2100000</v>
      </c>
      <c r="E32" s="72">
        <f t="shared" si="1"/>
        <v>1837500</v>
      </c>
      <c r="F32" s="72">
        <f>E32-B8</f>
        <v>1337500</v>
      </c>
    </row>
    <row r="33" spans="1:6" ht="15" customHeight="1" x14ac:dyDescent="0.3">
      <c r="A33" s="76">
        <v>5.5</v>
      </c>
      <c r="B33" s="75">
        <f>B6*(1+B9*(A33-B5)/B5)</f>
        <v>666666.66666666674</v>
      </c>
      <c r="C33" s="70">
        <f t="shared" si="0"/>
        <v>3666666.666666667</v>
      </c>
      <c r="D33" s="70">
        <f>B7*B33</f>
        <v>1866666.6666666667</v>
      </c>
      <c r="E33" s="70">
        <f t="shared" si="1"/>
        <v>1800000.0000000002</v>
      </c>
      <c r="F33" s="70">
        <f>E33-B8</f>
        <v>1300000.0000000002</v>
      </c>
    </row>
    <row r="34" spans="1:6" ht="15" customHeight="1" x14ac:dyDescent="0.3">
      <c r="A34" s="77">
        <v>5.75</v>
      </c>
      <c r="B34" s="78">
        <f>B6*(1+B9*(A34-B5)/B5)</f>
        <v>583333.33333333326</v>
      </c>
      <c r="C34" s="72">
        <f t="shared" si="0"/>
        <v>3354166.666666666</v>
      </c>
      <c r="D34" s="72">
        <f>B7*B34</f>
        <v>1633333.333333333</v>
      </c>
      <c r="E34" s="72">
        <f t="shared" si="1"/>
        <v>1720833.333333333</v>
      </c>
      <c r="F34" s="72">
        <f>E34-B8</f>
        <v>1220833.333333333</v>
      </c>
    </row>
    <row r="35" spans="1:6" ht="15" customHeight="1" x14ac:dyDescent="0.3">
      <c r="A35" s="76">
        <v>6</v>
      </c>
      <c r="B35" s="75">
        <f>B6*(1+B9*(A35-B5)/B5)</f>
        <v>500000</v>
      </c>
      <c r="C35" s="70">
        <f t="shared" si="0"/>
        <v>3000000</v>
      </c>
      <c r="D35" s="70">
        <f>B7*B35</f>
        <v>1400000</v>
      </c>
      <c r="E35" s="70">
        <f t="shared" si="1"/>
        <v>1600000</v>
      </c>
      <c r="F35" s="70">
        <f>E35-B8</f>
        <v>1100000</v>
      </c>
    </row>
    <row r="36" spans="1:6" ht="15" customHeight="1" x14ac:dyDescent="0.3">
      <c r="A36" s="77">
        <v>6.25</v>
      </c>
      <c r="B36" s="78">
        <f>B6*(1+B9*(A36-B5)/B5)</f>
        <v>416666.66666666663</v>
      </c>
      <c r="C36" s="72">
        <f t="shared" si="0"/>
        <v>2604166.6666666665</v>
      </c>
      <c r="D36" s="72">
        <f>B7*B36</f>
        <v>1166666.6666666665</v>
      </c>
      <c r="E36" s="72">
        <f t="shared" si="1"/>
        <v>1437500</v>
      </c>
      <c r="F36" s="72">
        <f>E36-B8</f>
        <v>937500</v>
      </c>
    </row>
    <row r="37" spans="1:6" ht="15" customHeight="1" x14ac:dyDescent="0.3">
      <c r="A37" s="76">
        <v>6.5</v>
      </c>
      <c r="B37" s="75">
        <f>B6*(1+B9*(A37-B5)/B5)</f>
        <v>333333.33333333337</v>
      </c>
      <c r="C37" s="70">
        <f t="shared" si="0"/>
        <v>2166666.666666667</v>
      </c>
      <c r="D37" s="70">
        <f>B7*B37</f>
        <v>933333.33333333337</v>
      </c>
      <c r="E37" s="70">
        <f t="shared" si="1"/>
        <v>1233333.3333333335</v>
      </c>
      <c r="F37" s="70">
        <f>E37-B8</f>
        <v>733333.33333333349</v>
      </c>
    </row>
    <row r="38" spans="1:6" ht="15" customHeight="1" x14ac:dyDescent="0.3">
      <c r="A38" s="77">
        <v>6.75</v>
      </c>
      <c r="B38" s="78">
        <f>B6*(1+B9*(A38-B5)/B5)</f>
        <v>250000</v>
      </c>
      <c r="C38" s="72">
        <f t="shared" si="0"/>
        <v>1687500</v>
      </c>
      <c r="D38" s="72">
        <f>B7*B38</f>
        <v>700000</v>
      </c>
      <c r="E38" s="72">
        <f t="shared" si="1"/>
        <v>987500</v>
      </c>
      <c r="F38" s="72">
        <f>E38-B8</f>
        <v>487500</v>
      </c>
    </row>
    <row r="39" spans="1:6" ht="15" customHeight="1" x14ac:dyDescent="0.3">
      <c r="A39" s="76">
        <v>7</v>
      </c>
      <c r="B39" s="75">
        <f>B6*(1+B9*(A39-B5)/B5)</f>
        <v>166666.66666666663</v>
      </c>
      <c r="C39" s="70">
        <f t="shared" si="0"/>
        <v>1166666.6666666665</v>
      </c>
      <c r="D39" s="70">
        <f>B7*B39</f>
        <v>466666.66666666651</v>
      </c>
      <c r="E39" s="70">
        <f t="shared" si="1"/>
        <v>700000</v>
      </c>
      <c r="F39" s="70">
        <f>E39-B8</f>
        <v>200000</v>
      </c>
    </row>
    <row r="41" spans="1:6" ht="15" customHeight="1" x14ac:dyDescent="0.3">
      <c r="A41" s="6" t="s">
        <v>122</v>
      </c>
      <c r="B41" s="6"/>
      <c r="C41" s="6"/>
      <c r="D41" s="6"/>
      <c r="E41" s="6"/>
      <c r="F41" s="6"/>
    </row>
    <row r="43" spans="1:6" ht="15" customHeight="1" x14ac:dyDescent="0.3">
      <c r="A43" s="7" t="s">
        <v>123</v>
      </c>
      <c r="B43" s="7"/>
      <c r="C43" s="7"/>
      <c r="D43" s="7"/>
      <c r="E43" s="7"/>
      <c r="F43" s="7"/>
    </row>
    <row r="44" spans="1:6" ht="15" customHeight="1" x14ac:dyDescent="0.3">
      <c r="A44" s="19" t="s">
        <v>124</v>
      </c>
      <c r="B44" s="83">
        <v>2000000</v>
      </c>
    </row>
    <row r="45" spans="1:6" ht="15" customHeight="1" x14ac:dyDescent="0.3">
      <c r="A45" s="19" t="s">
        <v>125</v>
      </c>
      <c r="B45" s="84">
        <f>B16</f>
        <v>1200000</v>
      </c>
    </row>
    <row r="46" spans="1:6" ht="15" customHeight="1" x14ac:dyDescent="0.3">
      <c r="A46" s="19" t="s">
        <v>126</v>
      </c>
      <c r="B46" s="85">
        <f>B44-B45</f>
        <v>800000</v>
      </c>
    </row>
    <row r="48" spans="1:6" ht="15" customHeight="1" x14ac:dyDescent="0.3">
      <c r="A48" s="19" t="s">
        <v>127</v>
      </c>
    </row>
    <row r="49" spans="1:1" ht="15" customHeight="1" x14ac:dyDescent="0.3">
      <c r="A49" s="86" t="s">
        <v>128</v>
      </c>
    </row>
    <row r="50" spans="1:1" ht="15" customHeight="1" x14ac:dyDescent="0.3">
      <c r="A50" s="86" t="s">
        <v>129</v>
      </c>
    </row>
    <row r="51" spans="1:1" ht="15" customHeight="1" x14ac:dyDescent="0.3">
      <c r="A51" s="86" t="s">
        <v>130</v>
      </c>
    </row>
    <row r="52" spans="1:1" ht="15" customHeight="1" x14ac:dyDescent="0.3">
      <c r="A52" s="86" t="s">
        <v>131</v>
      </c>
    </row>
    <row r="53" spans="1:1" ht="15" customHeight="1" x14ac:dyDescent="0.3">
      <c r="A53" s="86" t="s">
        <v>132</v>
      </c>
    </row>
  </sheetData>
  <mergeCells count="8">
    <mergeCell ref="A41:F41"/>
    <mergeCell ref="A43:F43"/>
    <mergeCell ref="A1:F1"/>
    <mergeCell ref="A2:F2"/>
    <mergeCell ref="A4:F4"/>
    <mergeCell ref="A11:F11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F60B-DEDA-417B-A784-A9E8E3CEDE4F}">
  <dimension ref="A1:K43"/>
  <sheetViews>
    <sheetView zoomScaleNormal="100" workbookViewId="0">
      <selection sqref="A1:K132"/>
    </sheetView>
  </sheetViews>
  <sheetFormatPr defaultColWidth="8.6640625" defaultRowHeight="14.4" x14ac:dyDescent="0.3"/>
  <cols>
    <col min="1" max="1" width="18" style="5" customWidth="1"/>
    <col min="2" max="2" width="22" style="5" customWidth="1"/>
    <col min="3" max="4" width="14" style="5" customWidth="1"/>
    <col min="5" max="5" width="12" style="5" customWidth="1"/>
    <col min="6" max="7" width="14" style="5" customWidth="1"/>
    <col min="8" max="10" width="12" style="5" customWidth="1"/>
    <col min="11" max="11" width="32" style="5" customWidth="1"/>
    <col min="12" max="16384" width="8.6640625" style="5"/>
  </cols>
  <sheetData>
    <row r="1" spans="1:11" ht="27.75" customHeight="1" x14ac:dyDescent="0.3">
      <c r="A1" s="87" t="s">
        <v>133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x14ac:dyDescent="0.3">
      <c r="A2" s="6" t="s">
        <v>134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">
      <c r="A4" s="7" t="s">
        <v>135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ht="36" customHeight="1" x14ac:dyDescent="0.3">
      <c r="A5" s="88" t="s">
        <v>136</v>
      </c>
      <c r="B5" s="88" t="s">
        <v>17</v>
      </c>
      <c r="C5" s="88" t="s">
        <v>137</v>
      </c>
      <c r="D5" s="88" t="s">
        <v>138</v>
      </c>
      <c r="E5" s="88" t="s">
        <v>139</v>
      </c>
      <c r="F5" s="88" t="s">
        <v>140</v>
      </c>
      <c r="G5" s="88" t="s">
        <v>141</v>
      </c>
      <c r="H5" s="88" t="s">
        <v>142</v>
      </c>
      <c r="I5" s="88" t="s">
        <v>143</v>
      </c>
      <c r="J5" s="88" t="s">
        <v>144</v>
      </c>
      <c r="K5" s="88" t="s">
        <v>28</v>
      </c>
    </row>
    <row r="6" spans="1:11" ht="18" customHeight="1" x14ac:dyDescent="0.3">
      <c r="A6" s="89" t="s">
        <v>145</v>
      </c>
      <c r="B6" s="90" t="s">
        <v>146</v>
      </c>
      <c r="C6" s="91" t="s">
        <v>147</v>
      </c>
      <c r="D6" s="92">
        <v>18700</v>
      </c>
      <c r="E6" s="93">
        <v>-2.1000000000000001E-2</v>
      </c>
      <c r="F6" s="94">
        <v>0.16400000000000001</v>
      </c>
      <c r="G6" s="92">
        <v>18200</v>
      </c>
      <c r="H6" s="94">
        <v>6.7984879540843304E-3</v>
      </c>
      <c r="I6" s="95">
        <v>2022</v>
      </c>
      <c r="J6" s="96" t="s">
        <v>148</v>
      </c>
      <c r="K6" s="97" t="s">
        <v>149</v>
      </c>
    </row>
    <row r="7" spans="1:11" ht="22.8" x14ac:dyDescent="0.3">
      <c r="A7" s="98" t="s">
        <v>150</v>
      </c>
      <c r="B7" s="99" t="s">
        <v>151</v>
      </c>
      <c r="C7" s="100" t="s">
        <v>152</v>
      </c>
      <c r="D7" s="101">
        <v>12300</v>
      </c>
      <c r="E7" s="102">
        <v>5.0999999999999997E-2</v>
      </c>
      <c r="F7" s="103">
        <v>0.187</v>
      </c>
      <c r="G7" s="101">
        <v>11200</v>
      </c>
      <c r="H7" s="103">
        <v>2.3697805267090401E-2</v>
      </c>
      <c r="I7" s="104">
        <v>2023</v>
      </c>
      <c r="J7" s="105" t="s">
        <v>153</v>
      </c>
      <c r="K7" s="106" t="s">
        <v>154</v>
      </c>
    </row>
    <row r="8" spans="1:11" x14ac:dyDescent="0.3">
      <c r="A8" s="89" t="s">
        <v>155</v>
      </c>
      <c r="B8" s="90" t="s">
        <v>156</v>
      </c>
      <c r="C8" s="91" t="s">
        <v>29</v>
      </c>
      <c r="D8" s="92">
        <v>27600</v>
      </c>
      <c r="E8" s="93">
        <v>-4.0000000000000001E-3</v>
      </c>
      <c r="F8" s="94">
        <v>0.128</v>
      </c>
      <c r="G8" s="92">
        <v>25300</v>
      </c>
      <c r="H8" s="94">
        <v>2.1991162258356799E-2</v>
      </c>
      <c r="I8" s="95">
        <v>2022</v>
      </c>
      <c r="J8" s="96" t="s">
        <v>148</v>
      </c>
      <c r="K8" s="97" t="s">
        <v>157</v>
      </c>
    </row>
    <row r="9" spans="1:11" x14ac:dyDescent="0.3">
      <c r="A9" s="98" t="s">
        <v>158</v>
      </c>
      <c r="B9" s="99" t="s">
        <v>159</v>
      </c>
      <c r="C9" s="100" t="s">
        <v>32</v>
      </c>
      <c r="D9" s="101">
        <v>12100</v>
      </c>
      <c r="E9" s="102">
        <v>5.1999999999999998E-2</v>
      </c>
      <c r="F9" s="103">
        <v>0.32</v>
      </c>
      <c r="G9" s="101">
        <v>11200</v>
      </c>
      <c r="H9" s="103">
        <v>1.9510814447485401E-2</v>
      </c>
      <c r="I9" s="104">
        <v>2023</v>
      </c>
      <c r="J9" s="105" t="s">
        <v>153</v>
      </c>
      <c r="K9" s="106" t="s">
        <v>160</v>
      </c>
    </row>
    <row r="10" spans="1:11" x14ac:dyDescent="0.3">
      <c r="A10" s="89" t="s">
        <v>161</v>
      </c>
      <c r="B10" s="90" t="s">
        <v>159</v>
      </c>
      <c r="C10" s="91" t="s">
        <v>30</v>
      </c>
      <c r="D10" s="92">
        <v>14500</v>
      </c>
      <c r="E10" s="107">
        <v>7.0000000000000001E-3</v>
      </c>
      <c r="F10" s="94">
        <v>0.11799999999999999</v>
      </c>
      <c r="G10" s="92">
        <v>11200</v>
      </c>
      <c r="H10" s="94">
        <v>6.6688209970935802E-2</v>
      </c>
      <c r="I10" s="95">
        <v>2023</v>
      </c>
      <c r="J10" s="105" t="s">
        <v>153</v>
      </c>
      <c r="K10" s="97" t="s">
        <v>162</v>
      </c>
    </row>
    <row r="11" spans="1:11" x14ac:dyDescent="0.3">
      <c r="A11" s="98" t="s">
        <v>163</v>
      </c>
      <c r="B11" s="99" t="s">
        <v>159</v>
      </c>
      <c r="C11" s="100" t="s">
        <v>34</v>
      </c>
      <c r="D11" s="101">
        <v>5000</v>
      </c>
      <c r="E11" s="93">
        <v>-3.7999999999999999E-2</v>
      </c>
      <c r="F11" s="103">
        <v>0.17</v>
      </c>
      <c r="G11" s="101">
        <v>4800</v>
      </c>
      <c r="H11" s="103">
        <v>1.0257752338311599E-2</v>
      </c>
      <c r="I11" s="104">
        <v>2022</v>
      </c>
      <c r="J11" s="96" t="s">
        <v>148</v>
      </c>
      <c r="K11" s="106" t="s">
        <v>164</v>
      </c>
    </row>
    <row r="12" spans="1:11" x14ac:dyDescent="0.3">
      <c r="A12" s="89" t="s">
        <v>165</v>
      </c>
      <c r="B12" s="90" t="s">
        <v>166</v>
      </c>
      <c r="C12" s="91" t="s">
        <v>29</v>
      </c>
      <c r="D12" s="92">
        <v>14400</v>
      </c>
      <c r="E12" s="102">
        <v>0.13400000000000001</v>
      </c>
      <c r="F12" s="94">
        <v>0.20499999999999999</v>
      </c>
      <c r="G12" s="92">
        <v>10100</v>
      </c>
      <c r="H12" s="94">
        <v>9.2723491214491402E-2</v>
      </c>
      <c r="I12" s="95">
        <v>2023</v>
      </c>
      <c r="J12" s="105" t="s">
        <v>153</v>
      </c>
      <c r="K12" s="97" t="s">
        <v>167</v>
      </c>
    </row>
    <row r="13" spans="1:11" x14ac:dyDescent="0.3">
      <c r="A13" s="98" t="s">
        <v>168</v>
      </c>
      <c r="B13" s="99" t="s">
        <v>169</v>
      </c>
      <c r="C13" s="100" t="s">
        <v>29</v>
      </c>
      <c r="D13" s="101">
        <v>3200</v>
      </c>
      <c r="E13" s="93">
        <v>-0.03</v>
      </c>
      <c r="F13" s="103">
        <v>0.29499999999999998</v>
      </c>
      <c r="G13" s="101">
        <v>3100</v>
      </c>
      <c r="H13" s="103">
        <v>7.9687574530888892E-3</v>
      </c>
      <c r="I13" s="104">
        <v>2022</v>
      </c>
      <c r="J13" s="96" t="s">
        <v>148</v>
      </c>
      <c r="K13" s="106" t="s">
        <v>170</v>
      </c>
    </row>
    <row r="14" spans="1:11" x14ac:dyDescent="0.3">
      <c r="A14" s="89" t="s">
        <v>171</v>
      </c>
      <c r="B14" s="90" t="s">
        <v>172</v>
      </c>
      <c r="C14" s="91" t="s">
        <v>173</v>
      </c>
      <c r="D14" s="92">
        <v>5800</v>
      </c>
      <c r="E14" s="102">
        <v>5.5E-2</v>
      </c>
      <c r="F14" s="94">
        <v>0.22800000000000001</v>
      </c>
      <c r="G14" s="92">
        <v>5100</v>
      </c>
      <c r="H14" s="94">
        <v>3.2676880956350698E-2</v>
      </c>
      <c r="I14" s="95">
        <v>2020</v>
      </c>
      <c r="J14" s="105" t="s">
        <v>153</v>
      </c>
      <c r="K14" s="97" t="s">
        <v>174</v>
      </c>
    </row>
    <row r="15" spans="1:11" ht="22.8" x14ac:dyDescent="0.3">
      <c r="A15" s="98" t="s">
        <v>175</v>
      </c>
      <c r="B15" s="99" t="s">
        <v>176</v>
      </c>
      <c r="C15" s="100" t="s">
        <v>177</v>
      </c>
      <c r="D15" s="101">
        <v>20100</v>
      </c>
      <c r="E15" s="107">
        <v>4.7E-2</v>
      </c>
      <c r="F15" s="103">
        <v>0.22</v>
      </c>
      <c r="G15" s="101">
        <v>15200</v>
      </c>
      <c r="H15" s="103">
        <v>7.2353855002626602E-2</v>
      </c>
      <c r="I15" s="104">
        <v>2023</v>
      </c>
      <c r="J15" s="105" t="s">
        <v>153</v>
      </c>
      <c r="K15" s="106" t="s">
        <v>178</v>
      </c>
    </row>
    <row r="18" spans="1:11" x14ac:dyDescent="0.3">
      <c r="A18" s="7" t="s">
        <v>179</v>
      </c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x14ac:dyDescent="0.3">
      <c r="A19" s="88" t="s">
        <v>136</v>
      </c>
      <c r="B19" s="88" t="s">
        <v>17</v>
      </c>
      <c r="C19" s="88" t="s">
        <v>180</v>
      </c>
      <c r="D19" s="88" t="s">
        <v>181</v>
      </c>
      <c r="E19" s="88" t="s">
        <v>182</v>
      </c>
      <c r="F19" s="88" t="s">
        <v>47</v>
      </c>
      <c r="G19" s="88" t="s">
        <v>183</v>
      </c>
      <c r="H19" s="88" t="s">
        <v>184</v>
      </c>
      <c r="I19" s="88" t="s">
        <v>185</v>
      </c>
      <c r="J19" s="88" t="s">
        <v>186</v>
      </c>
      <c r="K19" s="88" t="s">
        <v>187</v>
      </c>
    </row>
    <row r="20" spans="1:11" x14ac:dyDescent="0.3">
      <c r="A20" s="108" t="s">
        <v>145</v>
      </c>
      <c r="B20" s="109" t="s">
        <v>146</v>
      </c>
      <c r="C20" s="110">
        <v>18200</v>
      </c>
      <c r="D20" s="110">
        <v>17300</v>
      </c>
      <c r="E20" s="110">
        <v>17900</v>
      </c>
      <c r="F20" s="110">
        <v>19100</v>
      </c>
      <c r="G20" s="110">
        <v>18700</v>
      </c>
      <c r="H20" s="111">
        <v>-4.9000000000000002E-2</v>
      </c>
      <c r="I20" s="112">
        <v>3.5000000000000003E-2</v>
      </c>
      <c r="J20" s="113">
        <v>6.7000000000000004E-2</v>
      </c>
      <c r="K20" s="111">
        <v>-2.1000000000000001E-2</v>
      </c>
    </row>
    <row r="21" spans="1:11" x14ac:dyDescent="0.3">
      <c r="A21" s="114" t="s">
        <v>150</v>
      </c>
      <c r="B21" s="115" t="s">
        <v>151</v>
      </c>
      <c r="C21" s="116">
        <v>11200</v>
      </c>
      <c r="D21" s="116">
        <v>10600</v>
      </c>
      <c r="E21" s="116">
        <v>11400</v>
      </c>
      <c r="F21" s="116">
        <v>11700</v>
      </c>
      <c r="G21" s="116">
        <v>12300</v>
      </c>
      <c r="H21" s="111">
        <v>-5.3999999999999999E-2</v>
      </c>
      <c r="I21" s="113">
        <v>7.4999999999999997E-2</v>
      </c>
      <c r="J21" s="112">
        <v>2.5999999999999999E-2</v>
      </c>
      <c r="K21" s="113">
        <v>5.0999999999999997E-2</v>
      </c>
    </row>
    <row r="22" spans="1:11" x14ac:dyDescent="0.3">
      <c r="A22" s="108" t="s">
        <v>155</v>
      </c>
      <c r="B22" s="109" t="s">
        <v>156</v>
      </c>
      <c r="C22" s="110">
        <v>25300</v>
      </c>
      <c r="D22" s="110">
        <v>23600</v>
      </c>
      <c r="E22" s="110">
        <v>24300</v>
      </c>
      <c r="F22" s="110">
        <v>27700</v>
      </c>
      <c r="G22" s="110">
        <v>27600</v>
      </c>
      <c r="H22" s="111">
        <v>-6.7000000000000004E-2</v>
      </c>
      <c r="I22" s="112">
        <v>0.03</v>
      </c>
      <c r="J22" s="113">
        <v>0.14000000000000001</v>
      </c>
      <c r="K22" s="111">
        <v>-4.0000000000000001E-3</v>
      </c>
    </row>
    <row r="23" spans="1:11" x14ac:dyDescent="0.3">
      <c r="A23" s="114" t="s">
        <v>158</v>
      </c>
      <c r="B23" s="115" t="s">
        <v>159</v>
      </c>
      <c r="C23" s="116">
        <v>11200</v>
      </c>
      <c r="D23" s="116">
        <v>9700</v>
      </c>
      <c r="E23" s="116">
        <v>10400</v>
      </c>
      <c r="F23" s="116">
        <v>11500</v>
      </c>
      <c r="G23" s="116">
        <v>12100</v>
      </c>
      <c r="H23" s="111">
        <v>-0.13400000000000001</v>
      </c>
      <c r="I23" s="113">
        <v>7.1999999999999995E-2</v>
      </c>
      <c r="J23" s="113">
        <v>0.106</v>
      </c>
      <c r="K23" s="113">
        <v>5.1999999999999998E-2</v>
      </c>
    </row>
    <row r="24" spans="1:11" x14ac:dyDescent="0.3">
      <c r="A24" s="108" t="s">
        <v>161</v>
      </c>
      <c r="B24" s="109" t="s">
        <v>159</v>
      </c>
      <c r="C24" s="110">
        <v>11200</v>
      </c>
      <c r="D24" s="110">
        <v>9100</v>
      </c>
      <c r="E24" s="110">
        <v>11700</v>
      </c>
      <c r="F24" s="110">
        <v>14400</v>
      </c>
      <c r="G24" s="110">
        <v>14500</v>
      </c>
      <c r="H24" s="111">
        <v>-0.188</v>
      </c>
      <c r="I24" s="113">
        <v>0.28599999999999998</v>
      </c>
      <c r="J24" s="113">
        <v>0.23100000000000001</v>
      </c>
      <c r="K24" s="112">
        <v>7.0000000000000001E-3</v>
      </c>
    </row>
    <row r="25" spans="1:11" x14ac:dyDescent="0.3">
      <c r="A25" s="114" t="s">
        <v>163</v>
      </c>
      <c r="B25" s="115" t="s">
        <v>159</v>
      </c>
      <c r="C25" s="116">
        <v>4800</v>
      </c>
      <c r="D25" s="116">
        <v>4200</v>
      </c>
      <c r="E25" s="116">
        <v>4500</v>
      </c>
      <c r="F25" s="116">
        <v>5200</v>
      </c>
      <c r="G25" s="116">
        <v>5000</v>
      </c>
      <c r="H25" s="111">
        <v>-0.125</v>
      </c>
      <c r="I25" s="113">
        <v>7.0999999999999994E-2</v>
      </c>
      <c r="J25" s="113">
        <v>0.156</v>
      </c>
      <c r="K25" s="111">
        <v>-3.7999999999999999E-2</v>
      </c>
    </row>
    <row r="26" spans="1:11" x14ac:dyDescent="0.3">
      <c r="A26" s="108" t="s">
        <v>165</v>
      </c>
      <c r="B26" s="109" t="s">
        <v>166</v>
      </c>
      <c r="C26" s="110">
        <v>10100</v>
      </c>
      <c r="D26" s="110">
        <v>9500</v>
      </c>
      <c r="E26" s="110">
        <v>10900</v>
      </c>
      <c r="F26" s="110">
        <v>12700</v>
      </c>
      <c r="G26" s="110">
        <v>14400</v>
      </c>
      <c r="H26" s="111">
        <v>-5.8999999999999997E-2</v>
      </c>
      <c r="I26" s="113">
        <v>0.14699999999999999</v>
      </c>
      <c r="J26" s="113">
        <v>0.16500000000000001</v>
      </c>
      <c r="K26" s="113">
        <v>0.13400000000000001</v>
      </c>
    </row>
    <row r="27" spans="1:11" x14ac:dyDescent="0.3">
      <c r="A27" s="114" t="s">
        <v>168</v>
      </c>
      <c r="B27" s="115" t="s">
        <v>169</v>
      </c>
      <c r="C27" s="116">
        <v>3100</v>
      </c>
      <c r="D27" s="116">
        <v>2800</v>
      </c>
      <c r="E27" s="116">
        <v>3000</v>
      </c>
      <c r="F27" s="116">
        <v>3300</v>
      </c>
      <c r="G27" s="116">
        <v>3200</v>
      </c>
      <c r="H27" s="111">
        <v>-9.7000000000000003E-2</v>
      </c>
      <c r="I27" s="113">
        <v>7.0999999999999994E-2</v>
      </c>
      <c r="J27" s="113">
        <v>0.1</v>
      </c>
      <c r="K27" s="111">
        <v>-0.03</v>
      </c>
    </row>
    <row r="28" spans="1:11" x14ac:dyDescent="0.3">
      <c r="A28" s="108" t="s">
        <v>171</v>
      </c>
      <c r="B28" s="109" t="s">
        <v>172</v>
      </c>
      <c r="C28" s="110">
        <v>5100</v>
      </c>
      <c r="D28" s="110">
        <v>5800</v>
      </c>
      <c r="E28" s="110">
        <v>5400</v>
      </c>
      <c r="F28" s="110">
        <v>5500</v>
      </c>
      <c r="G28" s="110">
        <v>5800</v>
      </c>
      <c r="H28" s="113">
        <v>0.13700000000000001</v>
      </c>
      <c r="I28" s="111">
        <v>-6.9000000000000006E-2</v>
      </c>
      <c r="J28" s="112">
        <v>1.9E-2</v>
      </c>
      <c r="K28" s="113">
        <v>5.5E-2</v>
      </c>
    </row>
    <row r="29" spans="1:11" x14ac:dyDescent="0.3">
      <c r="A29" s="114" t="s">
        <v>175</v>
      </c>
      <c r="B29" s="115" t="s">
        <v>176</v>
      </c>
      <c r="C29" s="116">
        <v>15200</v>
      </c>
      <c r="D29" s="116">
        <v>15800</v>
      </c>
      <c r="E29" s="116">
        <v>17600</v>
      </c>
      <c r="F29" s="116">
        <v>19200</v>
      </c>
      <c r="G29" s="116">
        <v>20100</v>
      </c>
      <c r="H29" s="112">
        <v>3.9E-2</v>
      </c>
      <c r="I29" s="113">
        <v>0.114</v>
      </c>
      <c r="J29" s="113">
        <v>9.0999999999999998E-2</v>
      </c>
      <c r="K29" s="112">
        <v>4.7E-2</v>
      </c>
    </row>
    <row r="32" spans="1:11" x14ac:dyDescent="0.3">
      <c r="A32" s="7" t="s">
        <v>188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9" ht="36" x14ac:dyDescent="0.3">
      <c r="A33" s="88" t="s">
        <v>136</v>
      </c>
      <c r="B33" s="88" t="s">
        <v>17</v>
      </c>
      <c r="C33" s="88" t="s">
        <v>137</v>
      </c>
      <c r="D33" s="88" t="s">
        <v>189</v>
      </c>
      <c r="E33" s="88" t="s">
        <v>190</v>
      </c>
    </row>
    <row r="34" spans="1:9" ht="39.75" customHeight="1" x14ac:dyDescent="0.3">
      <c r="A34" s="117" t="s">
        <v>147</v>
      </c>
      <c r="D34" s="118" t="s">
        <v>191</v>
      </c>
      <c r="E34" s="118"/>
      <c r="F34" s="118"/>
      <c r="G34" s="118" t="s">
        <v>192</v>
      </c>
      <c r="H34" s="118"/>
      <c r="I34" s="118"/>
    </row>
    <row r="35" spans="1:9" ht="39.75" customHeight="1" x14ac:dyDescent="0.3">
      <c r="A35" s="119" t="s">
        <v>152</v>
      </c>
      <c r="D35" s="120" t="s">
        <v>193</v>
      </c>
      <c r="E35" s="120"/>
      <c r="F35" s="120"/>
      <c r="G35" s="120" t="s">
        <v>194</v>
      </c>
      <c r="H35" s="120"/>
      <c r="I35" s="120"/>
    </row>
    <row r="36" spans="1:9" ht="39.75" customHeight="1" x14ac:dyDescent="0.3">
      <c r="A36" s="117" t="s">
        <v>29</v>
      </c>
      <c r="D36" s="118" t="s">
        <v>195</v>
      </c>
      <c r="E36" s="118"/>
      <c r="F36" s="118"/>
      <c r="G36" s="118" t="s">
        <v>196</v>
      </c>
      <c r="H36" s="118"/>
      <c r="I36" s="118"/>
    </row>
    <row r="37" spans="1:9" ht="39.75" customHeight="1" x14ac:dyDescent="0.3">
      <c r="A37" s="119" t="s">
        <v>32</v>
      </c>
      <c r="D37" s="120" t="s">
        <v>197</v>
      </c>
      <c r="E37" s="120"/>
      <c r="F37" s="120"/>
      <c r="G37" s="120" t="s">
        <v>198</v>
      </c>
      <c r="H37" s="120"/>
      <c r="I37" s="120"/>
    </row>
    <row r="38" spans="1:9" ht="39.75" customHeight="1" x14ac:dyDescent="0.3">
      <c r="A38" s="117" t="s">
        <v>30</v>
      </c>
      <c r="D38" s="118" t="s">
        <v>199</v>
      </c>
      <c r="E38" s="118"/>
      <c r="F38" s="118"/>
      <c r="G38" s="118" t="s">
        <v>200</v>
      </c>
      <c r="H38" s="118"/>
      <c r="I38" s="118"/>
    </row>
    <row r="39" spans="1:9" ht="39.75" customHeight="1" x14ac:dyDescent="0.3">
      <c r="A39" s="119" t="s">
        <v>34</v>
      </c>
      <c r="D39" s="120" t="s">
        <v>201</v>
      </c>
      <c r="E39" s="120"/>
      <c r="F39" s="120"/>
      <c r="G39" s="120" t="s">
        <v>202</v>
      </c>
      <c r="H39" s="120"/>
      <c r="I39" s="120"/>
    </row>
    <row r="40" spans="1:9" ht="39.75" customHeight="1" x14ac:dyDescent="0.3">
      <c r="A40" s="117" t="s">
        <v>29</v>
      </c>
      <c r="D40" s="118" t="s">
        <v>203</v>
      </c>
      <c r="E40" s="118"/>
      <c r="F40" s="118"/>
      <c r="G40" s="118" t="s">
        <v>204</v>
      </c>
      <c r="H40" s="118"/>
      <c r="I40" s="118"/>
    </row>
    <row r="41" spans="1:9" ht="39.75" customHeight="1" x14ac:dyDescent="0.3">
      <c r="A41" s="119" t="s">
        <v>29</v>
      </c>
      <c r="D41" s="120" t="s">
        <v>205</v>
      </c>
      <c r="E41" s="120"/>
      <c r="F41" s="120"/>
      <c r="G41" s="120" t="s">
        <v>206</v>
      </c>
      <c r="H41" s="120"/>
      <c r="I41" s="120"/>
    </row>
    <row r="42" spans="1:9" ht="39.75" customHeight="1" x14ac:dyDescent="0.3">
      <c r="A42" s="117" t="s">
        <v>173</v>
      </c>
      <c r="D42" s="118" t="s">
        <v>207</v>
      </c>
      <c r="E42" s="118"/>
      <c r="F42" s="118"/>
      <c r="G42" s="118" t="s">
        <v>208</v>
      </c>
      <c r="H42" s="118"/>
      <c r="I42" s="118"/>
    </row>
    <row r="43" spans="1:9" ht="39.75" customHeight="1" x14ac:dyDescent="0.3">
      <c r="A43" s="119" t="s">
        <v>177</v>
      </c>
      <c r="D43" s="120" t="s">
        <v>209</v>
      </c>
      <c r="E43" s="120"/>
      <c r="F43" s="120"/>
      <c r="G43" s="120" t="s">
        <v>210</v>
      </c>
      <c r="H43" s="120"/>
      <c r="I43" s="120"/>
    </row>
  </sheetData>
  <mergeCells count="25">
    <mergeCell ref="D41:F41"/>
    <mergeCell ref="G41:I41"/>
    <mergeCell ref="D42:F42"/>
    <mergeCell ref="G42:I42"/>
    <mergeCell ref="D43:F43"/>
    <mergeCell ref="G43:I43"/>
    <mergeCell ref="D38:F38"/>
    <mergeCell ref="G38:I38"/>
    <mergeCell ref="D39:F39"/>
    <mergeCell ref="G39:I39"/>
    <mergeCell ref="D40:F40"/>
    <mergeCell ref="G40:I40"/>
    <mergeCell ref="D35:F35"/>
    <mergeCell ref="G35:I35"/>
    <mergeCell ref="D36:F36"/>
    <mergeCell ref="G36:I36"/>
    <mergeCell ref="D37:F37"/>
    <mergeCell ref="G37:I37"/>
    <mergeCell ref="A1:K1"/>
    <mergeCell ref="A2:K2"/>
    <mergeCell ref="A4:K4"/>
    <mergeCell ref="A18:K18"/>
    <mergeCell ref="A32:K32"/>
    <mergeCell ref="D34:F34"/>
    <mergeCell ref="G34:I3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4DBB1A7-9CBA-4020-9BEC-6F3F80C55DA4}">
  <ds:schemaRefs/>
</ds:datastoreItem>
</file>

<file path=customXml/itemProps2.xml><?xml version="1.0" encoding="utf-8"?>
<ds:datastoreItem xmlns:ds="http://schemas.openxmlformats.org/officeDocument/2006/customXml" ds:itemID="{F7067E24-CC5F-481E-9A13-AC01430472A2}">
  <ds:schemaRefs/>
</ds:datastoreItem>
</file>

<file path=customXml/itemProps3.xml><?xml version="1.0" encoding="utf-8"?>
<ds:datastoreItem xmlns:ds="http://schemas.openxmlformats.org/officeDocument/2006/customXml" ds:itemID="{BBB9F69E-1B84-48D3-9E12-D8A799948B2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D8B06CC-98B0-4890-9D39-A5AABA786FDE}">
  <ds:schemaRefs/>
</ds:datastoreItem>
</file>

<file path=customXml/itemProps5.xml><?xml version="1.0" encoding="utf-8"?>
<ds:datastoreItem xmlns:ds="http://schemas.openxmlformats.org/officeDocument/2006/customXml" ds:itemID="{965046A4-9CE7-44F4-8D1A-71BC25D80AE8}">
  <ds:schemaRefs/>
</ds:datastoreItem>
</file>

<file path=customXml/itemProps6.xml><?xml version="1.0" encoding="utf-8"?>
<ds:datastoreItem xmlns:ds="http://schemas.openxmlformats.org/officeDocument/2006/customXml" ds:itemID="{6117834C-6EE6-438E-8C4D-D281D6A15B2A}">
  <ds:schemaRefs/>
</ds:datastoreItem>
</file>

<file path=customXml/itemProps7.xml><?xml version="1.0" encoding="utf-8"?>
<ds:datastoreItem xmlns:ds="http://schemas.openxmlformats.org/officeDocument/2006/customXml" ds:itemID="{04C519B1-AE11-4DF7-926E-CE6C1D3F8551}">
  <ds:schemaRefs/>
</ds:datastoreItem>
</file>

<file path=customXml/itemProps8.xml><?xml version="1.0" encoding="utf-8"?>
<ds:datastoreItem xmlns:ds="http://schemas.openxmlformats.org/officeDocument/2006/customXml" ds:itemID="{4FCB5208-9DE4-49A9-9B9B-3883D502AE14}">
  <ds:schemaRefs/>
</ds:datastoreItem>
</file>

<file path=customXml/itemProps9.xml><?xml version="1.0" encoding="utf-8"?>
<ds:datastoreItem xmlns:ds="http://schemas.openxmlformats.org/officeDocument/2006/customXml" ds:itemID="{C0995B42-326C-42A7-A023-3455D2E1D2F4}">
  <ds:schemaRefs/>
</ds:datastoreItem>
</file>

<file path=customXml/itemProps10.xml><?xml version="1.0" encoding="utf-8"?>
<ds:datastoreItem xmlns:ds="http://schemas.openxmlformats.org/officeDocument/2006/customXml" ds:itemID="{45F07C9C-1F50-4C82-9DE7-F10747E5A263}">
  <ds:schemaRefs/>
</ds:datastoreItem>
</file>

<file path=customXml/itemProps11.xml><?xml version="1.0" encoding="utf-8"?>
<ds:datastoreItem xmlns:ds="http://schemas.openxmlformats.org/officeDocument/2006/customXml" ds:itemID="{13591126-86A2-4B6C-816B-3BDA4A0BB85E}">
  <ds:schemaRefs/>
</ds:datastoreItem>
</file>

<file path=customXml/itemProps12.xml><?xml version="1.0" encoding="utf-8"?>
<ds:datastoreItem xmlns:ds="http://schemas.openxmlformats.org/officeDocument/2006/customXml" ds:itemID="{A3C02149-8834-47D9-8C94-1FA289399916}">
  <ds:schemaRefs/>
</ds:datastoreItem>
</file>

<file path=customXml/itemProps13.xml><?xml version="1.0" encoding="utf-8"?>
<ds:datastoreItem xmlns:ds="http://schemas.openxmlformats.org/officeDocument/2006/customXml" ds:itemID="{96D512FA-2873-435C-96E3-FE5E519FD0CB}">
  <ds:schemaRefs/>
</ds:datastoreItem>
</file>

<file path=customXml/itemProps14.xml><?xml version="1.0" encoding="utf-8"?>
<ds:datastoreItem xmlns:ds="http://schemas.openxmlformats.org/officeDocument/2006/customXml" ds:itemID="{76744E50-086C-4959-9642-B68176969196}">
  <ds:schemaRefs/>
</ds:datastoreItem>
</file>

<file path=customXml/itemProps15.xml><?xml version="1.0" encoding="utf-8"?>
<ds:datastoreItem xmlns:ds="http://schemas.openxmlformats.org/officeDocument/2006/customXml" ds:itemID="{11DEA5D5-E3AC-441B-A7F4-EE5FFB8EA3C6}">
  <ds:schemaRefs/>
</ds:datastoreItem>
</file>

<file path=customXml/itemProps16.xml><?xml version="1.0" encoding="utf-8"?>
<ds:datastoreItem xmlns:ds="http://schemas.openxmlformats.org/officeDocument/2006/customXml" ds:itemID="{DEA0C47E-ACC3-4A29-8061-4D378E1AB4FC}">
  <ds:schemaRefs/>
</ds:datastoreItem>
</file>

<file path=customXml/itemProps17.xml><?xml version="1.0" encoding="utf-8"?>
<ds:datastoreItem xmlns:ds="http://schemas.openxmlformats.org/officeDocument/2006/customXml" ds:itemID="{53B57931-A565-46E2-82F7-6B5742A0C862}">
  <ds:schemaRefs/>
</ds:datastoreItem>
</file>

<file path=customXml/itemProps18.xml><?xml version="1.0" encoding="utf-8"?>
<ds:datastoreItem xmlns:ds="http://schemas.openxmlformats.org/officeDocument/2006/customXml" ds:itemID="{2FD7D91B-BABE-49D0-9FEF-69C1046E522E}">
  <ds:schemaRefs/>
</ds:datastoreItem>
</file>

<file path=customXml/itemProps19.xml><?xml version="1.0" encoding="utf-8"?>
<ds:datastoreItem xmlns:ds="http://schemas.openxmlformats.org/officeDocument/2006/customXml" ds:itemID="{01387204-2A66-43A9-A5F2-6CC0D6EA4D57}">
  <ds:schemaRefs/>
</ds:datastoreItem>
</file>

<file path=customXml/itemProps20.xml><?xml version="1.0" encoding="utf-8"?>
<ds:datastoreItem xmlns:ds="http://schemas.openxmlformats.org/officeDocument/2006/customXml" ds:itemID="{89F08DF3-A566-4184-9F6B-8D044CB349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Consumption</vt:lpstr>
      <vt:lpstr>CPI</vt:lpstr>
      <vt:lpstr>Retail Trade</vt:lpstr>
      <vt:lpstr>Sheet1</vt:lpstr>
      <vt:lpstr>Assumptions (2)</vt:lpstr>
      <vt:lpstr>Calculation</vt:lpstr>
      <vt:lpstr>Output</vt:lpstr>
      <vt:lpstr>Pricing_Model</vt:lpstr>
      <vt:lpstr>CI_Tracker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Chandru R</dc:creator>
  <cp:lastModifiedBy>Chandru R</cp:lastModifiedBy>
  <dcterms:created xsi:type="dcterms:W3CDTF">2026-05-25T10:55:28Z</dcterms:created>
  <dcterms:modified xsi:type="dcterms:W3CDTF">2026-05-31T20:31:55Z</dcterms:modified>
</cp:coreProperties>
</file>